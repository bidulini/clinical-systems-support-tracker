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1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5.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6.xml" ContentType="application/vnd.openxmlformats-officedocument.spreadsheetml.table+xml"/>
  <Override PartName="/xl/queryTables/queryTable1.xml" ContentType="application/vnd.openxmlformats-officedocument.spreadsheetml.queryTable+xml"/>
  <Override PartName="/xl/tables/table17.xml" ContentType="application/vnd.openxmlformats-officedocument.spreadsheetml.table+xml"/>
  <Override PartName="/xl/queryTables/queryTable2.xml" ContentType="application/vnd.openxmlformats-officedocument.spreadsheetml.queryTable+xml"/>
  <Override PartName="/xl/tables/table18.xml" ContentType="application/vnd.openxmlformats-officedocument.spreadsheetml.table+xml"/>
  <Override PartName="/xl/queryTables/queryTable3.xml" ContentType="application/vnd.openxmlformats-officedocument.spreadsheetml.queryTable+xml"/>
  <Override PartName="/xl/tables/table19.xml" ContentType="application/vnd.openxmlformats-officedocument.spreadsheetml.table+xml"/>
  <Override PartName="/xl/queryTables/queryTable4.xml" ContentType="application/vnd.openxmlformats-officedocument.spreadsheetml.queryTable+xml"/>
  <Override PartName="/xl/tables/table20.xml" ContentType="application/vnd.openxmlformats-officedocument.spreadsheetml.table+xml"/>
  <Override PartName="/xl/queryTables/queryTable5.xml" ContentType="application/vnd.openxmlformats-officedocument.spreadsheetml.queryTable+xml"/>
  <Override PartName="/xl/tables/table21.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Clinical-Data-Portfolio\Clinical Systems - Data Projects\"/>
    </mc:Choice>
  </mc:AlternateContent>
  <xr:revisionPtr revIDLastSave="0" documentId="13_ncr:1_{B5150388-A51D-43D9-A4BF-78193D6E58EE}" xr6:coauthVersionLast="47" xr6:coauthVersionMax="47" xr10:uidLastSave="{00000000-0000-0000-0000-000000000000}"/>
  <bookViews>
    <workbookView xWindow="-108" yWindow="-108" windowWidth="23256" windowHeight="12456" tabRatio="949" firstSheet="17" activeTab="22" xr2:uid="{B313B6FD-DAF7-4BEB-85FE-A13DD4C8C842}"/>
  </bookViews>
  <sheets>
    <sheet name="Employees" sheetId="6" r:id="rId1"/>
    <sheet name="Courses" sheetId="7" r:id="rId2"/>
    <sheet name="Training Tracker" sheetId="1" r:id="rId3"/>
    <sheet name="TMF Document Tracker" sheetId="14" r:id="rId4"/>
    <sheet name="Issue Log" sheetId="21" r:id="rId5"/>
    <sheet name="Deliverables and Milestones" sheetId="23" r:id="rId6"/>
    <sheet name="Data Quality" sheetId="5" r:id="rId7"/>
    <sheet name="TMF Data Quality" sheetId="16" r:id="rId8"/>
    <sheet name="Training KPIs" sheetId="8" r:id="rId9"/>
    <sheet name="TMF KPIs" sheetId="17" r:id="rId10"/>
    <sheet name="Issue KPIs" sheetId="22" r:id="rId11"/>
    <sheet name="Deliverables KPIs" sheetId="24" r:id="rId12"/>
    <sheet name="Training Pivot - Emp Status" sheetId="9" state="hidden" r:id="rId13"/>
    <sheet name="Training Pivot - Role" sheetId="10" state="hidden" r:id="rId14"/>
    <sheet name="Training Pivot - Course Status" sheetId="11" state="hidden" r:id="rId15"/>
    <sheet name="Training Pivot - Hours" sheetId="12" state="hidden" r:id="rId16"/>
    <sheet name="TMF Pivot Status" sheetId="19" state="hidden" r:id="rId17"/>
    <sheet name="Training Dashboard" sheetId="13" r:id="rId18"/>
    <sheet name="TMF Document Control Dashboard" sheetId="20" r:id="rId19"/>
    <sheet name="PQ_Training_Output" sheetId="25" r:id="rId20"/>
    <sheet name="PQ_Employees_Output" sheetId="26" r:id="rId21"/>
    <sheet name="PQ_Courses_Output" sheetId="27" r:id="rId22"/>
    <sheet name="PQ_TMF_Output" sheetId="28" r:id="rId23"/>
    <sheet name="PQ_Issue_Output" sheetId="29" r:id="rId24"/>
    <sheet name="PQ_Deliverables_Output" sheetId="30" r:id="rId25"/>
  </sheets>
  <definedNames>
    <definedName name="ExternalData_1" localSheetId="21" hidden="1">PQ_Courses_Output!$A$1:$E$9</definedName>
    <definedName name="ExternalData_1" localSheetId="24" hidden="1">PQ_Deliverables_Output!$A$1:$P$9</definedName>
    <definedName name="ExternalData_1" localSheetId="20" hidden="1">PQ_Employees_Output!$A$1:$D$5</definedName>
    <definedName name="ExternalData_1" localSheetId="23" hidden="1">PQ_Issue_Output!$A$1:$P$9</definedName>
    <definedName name="ExternalData_1" localSheetId="22" hidden="1">PQ_TMF_Output!$A$1:$R$9</definedName>
    <definedName name="ExternalData_1" localSheetId="19" hidden="1">PQ_Training_Output!$A$1:$Z$9</definedName>
    <definedName name="Slicer_Required___Optional">#N/A</definedName>
    <definedName name="Slicer_Role">#N/A</definedName>
    <definedName name="Slicer_Status">#N/A</definedName>
  </definedNames>
  <calcPr calcId="181029"/>
  <pivotCaches>
    <pivotCache cacheId="22" r:id="rId26"/>
    <pivotCache cacheId="27" r:id="rId27"/>
  </pivotCaches>
  <extLs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8" l="1"/>
  <c r="B9" i="24"/>
  <c r="B8" i="24"/>
  <c r="B7" i="24"/>
  <c r="B6" i="24"/>
  <c r="B5" i="24"/>
  <c r="B4" i="24"/>
  <c r="B3" i="24"/>
  <c r="B2" i="24"/>
  <c r="L3" i="23"/>
  <c r="L4" i="23"/>
  <c r="L5" i="23"/>
  <c r="L6" i="23"/>
  <c r="L7" i="23"/>
  <c r="L8" i="23"/>
  <c r="L9" i="23"/>
  <c r="L2" i="23"/>
  <c r="K3" i="23"/>
  <c r="K4" i="23"/>
  <c r="K5" i="23"/>
  <c r="K6" i="23"/>
  <c r="K7" i="23"/>
  <c r="K8" i="23"/>
  <c r="K9" i="23"/>
  <c r="K2" i="23"/>
  <c r="B7" i="22"/>
  <c r="B6" i="22"/>
  <c r="B5" i="22"/>
  <c r="B4" i="22"/>
  <c r="B3" i="22"/>
  <c r="B2" i="22"/>
  <c r="M3" i="21"/>
  <c r="M4" i="21"/>
  <c r="M5" i="21"/>
  <c r="M6" i="21"/>
  <c r="M7" i="21"/>
  <c r="M8" i="21"/>
  <c r="M9" i="21"/>
  <c r="M2" i="21"/>
  <c r="K3" i="21"/>
  <c r="K4" i="21"/>
  <c r="K5" i="21"/>
  <c r="K6" i="21"/>
  <c r="K7" i="21"/>
  <c r="K8" i="21"/>
  <c r="K9" i="21"/>
  <c r="K2" i="21"/>
  <c r="B2" i="20"/>
  <c r="B3" i="20"/>
  <c r="B4" i="20"/>
  <c r="B5" i="20"/>
  <c r="B6" i="20"/>
  <c r="B6" i="17"/>
  <c r="B5" i="17"/>
  <c r="B4" i="17"/>
  <c r="B2" i="17"/>
  <c r="B3" i="17"/>
  <c r="B6" i="16"/>
  <c r="B5" i="16"/>
  <c r="B4" i="16"/>
  <c r="B3" i="16"/>
  <c r="B2" i="16"/>
  <c r="M2" i="14"/>
  <c r="N2" i="14" s="1"/>
  <c r="M3" i="14"/>
  <c r="N3" i="14" s="1"/>
  <c r="M4" i="14"/>
  <c r="N4" i="14" s="1"/>
  <c r="M5" i="14"/>
  <c r="N5" i="14" s="1"/>
  <c r="M6" i="14"/>
  <c r="N6" i="14" s="1"/>
  <c r="M7" i="14"/>
  <c r="N7" i="14" s="1"/>
  <c r="M8" i="14"/>
  <c r="N8" i="14" s="1"/>
  <c r="M9" i="14"/>
  <c r="N9" i="14" s="1"/>
  <c r="A3" i="13"/>
  <c r="G13" i="5"/>
  <c r="G14" i="5"/>
  <c r="G15" i="5"/>
  <c r="G16" i="5"/>
  <c r="G17" i="5"/>
  <c r="G18" i="5"/>
  <c r="G19" i="5"/>
  <c r="D12" i="5"/>
  <c r="E12" i="5" s="1"/>
  <c r="D13" i="5"/>
  <c r="E13" i="5" s="1"/>
  <c r="D14" i="5"/>
  <c r="E14" i="5" s="1"/>
  <c r="D15" i="5"/>
  <c r="E15" i="5" s="1"/>
  <c r="D16" i="5"/>
  <c r="E16" i="5" s="1"/>
  <c r="D17" i="5"/>
  <c r="E17" i="5" s="1"/>
  <c r="D18" i="5"/>
  <c r="E18" i="5" s="1"/>
  <c r="D19" i="5"/>
  <c r="E19" i="5" s="1"/>
  <c r="B13" i="5"/>
  <c r="C13" i="5" s="1"/>
  <c r="B14" i="5"/>
  <c r="C14" i="5" s="1"/>
  <c r="B15" i="5"/>
  <c r="C15" i="5" s="1"/>
  <c r="B16" i="5"/>
  <c r="C16" i="5" s="1"/>
  <c r="B17" i="5"/>
  <c r="C17" i="5" s="1"/>
  <c r="B18" i="5"/>
  <c r="C18" i="5"/>
  <c r="B19" i="5"/>
  <c r="C19" i="5" s="1"/>
  <c r="G12" i="5"/>
  <c r="F12" i="5"/>
  <c r="F13" i="5"/>
  <c r="F14" i="5"/>
  <c r="F15" i="5"/>
  <c r="F16" i="5"/>
  <c r="F17" i="5"/>
  <c r="F18" i="5"/>
  <c r="F19" i="5"/>
  <c r="B12" i="5"/>
  <c r="C12" i="5" s="1"/>
  <c r="E2" i="1"/>
  <c r="H3" i="1"/>
  <c r="H4" i="1"/>
  <c r="H5" i="1"/>
  <c r="H6" i="1"/>
  <c r="H7" i="1"/>
  <c r="H8" i="1"/>
  <c r="H9" i="1"/>
  <c r="H2" i="1"/>
  <c r="B4" i="8" s="1"/>
  <c r="F3" i="1"/>
  <c r="F4" i="1"/>
  <c r="F5" i="1"/>
  <c r="F6" i="1"/>
  <c r="F7" i="1"/>
  <c r="F8" i="1"/>
  <c r="F9" i="1"/>
  <c r="F2" i="1"/>
  <c r="E3" i="1"/>
  <c r="E4" i="1"/>
  <c r="E5" i="1"/>
  <c r="E6" i="1"/>
  <c r="E7" i="1"/>
  <c r="E8" i="1"/>
  <c r="E9" i="1"/>
  <c r="D2" i="1"/>
  <c r="D3" i="1"/>
  <c r="D4" i="1"/>
  <c r="D5" i="1"/>
  <c r="D6" i="1"/>
  <c r="D7" i="1"/>
  <c r="D8" i="1"/>
  <c r="D9" i="1"/>
  <c r="L3" i="1"/>
  <c r="N3" i="1" s="1"/>
  <c r="L4" i="1"/>
  <c r="N4" i="1" s="1"/>
  <c r="L5" i="1"/>
  <c r="N5" i="1" s="1"/>
  <c r="L6" i="1"/>
  <c r="N6" i="1" s="1"/>
  <c r="L7" i="1"/>
  <c r="N7" i="1" s="1"/>
  <c r="L8" i="1"/>
  <c r="N8" i="1" s="1"/>
  <c r="L9" i="1"/>
  <c r="N9" i="1" s="1"/>
  <c r="L2" i="1"/>
  <c r="N2" i="1" s="1"/>
  <c r="B4" i="5" l="1"/>
  <c r="B7" i="8"/>
  <c r="B3" i="8"/>
  <c r="B3" i="13" s="1"/>
  <c r="B2" i="5"/>
  <c r="B6" i="8"/>
  <c r="B8" i="8"/>
  <c r="E3" i="13" s="1"/>
  <c r="B5" i="8"/>
  <c r="D3" i="13" s="1"/>
  <c r="B9" i="8"/>
  <c r="F3" i="13" s="1"/>
  <c r="C3" i="13"/>
  <c r="B8" i="22"/>
  <c r="B9" i="17"/>
  <c r="B8" i="17"/>
  <c r="O8" i="14"/>
  <c r="O5" i="14"/>
  <c r="O9" i="14"/>
  <c r="O7" i="14"/>
  <c r="O6" i="14"/>
  <c r="O4" i="14"/>
  <c r="O3" i="14"/>
  <c r="O2" i="14"/>
  <c r="B5" i="5"/>
  <c r="B3" i="5"/>
  <c r="H19" i="5"/>
  <c r="I19" i="5" s="1"/>
  <c r="H18" i="5"/>
  <c r="I18" i="5" s="1"/>
  <c r="H16" i="5"/>
  <c r="I16" i="5" s="1"/>
  <c r="H13" i="5"/>
  <c r="I13" i="5" s="1"/>
  <c r="H17" i="5"/>
  <c r="I17" i="5" s="1"/>
  <c r="H15" i="5"/>
  <c r="I15" i="5" s="1"/>
  <c r="H14" i="5"/>
  <c r="I14" i="5" s="1"/>
  <c r="H12" i="5"/>
  <c r="I12" i="5" s="1"/>
  <c r="B7" i="17" l="1"/>
  <c r="B7" i="20" s="1"/>
  <c r="B7" i="16"/>
  <c r="B7" i="5"/>
  <c r="B6" i="5"/>
  <c r="B8"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21A1C6-D4BB-4EB7-93BE-3862B2B32AF0}" keepAlive="1" name="Query - Courses" description="Connection to the 'Courses' query in the workbook." type="5" refreshedVersion="8" background="1" saveData="1">
    <dbPr connection="Provider=Microsoft.Mashup.OleDb.1;Data Source=$Workbook$;Location=Courses;Extended Properties=&quot;&quot;" command="SELECT * FROM [Courses]"/>
  </connection>
  <connection id="2" xr16:uid="{F09BCC2E-A868-40A3-9E95-96FAE062BBDB}" keepAlive="1" name="Query - Deliverables" description="Connection to the 'Deliverables' query in the workbook." type="5" refreshedVersion="8" background="1" saveData="1">
    <dbPr connection="Provider=Microsoft.Mashup.OleDb.1;Data Source=$Workbook$;Location=Deliverables;Extended Properties=&quot;&quot;" command="SELECT * FROM [Deliverables]"/>
  </connection>
  <connection id="3" xr16:uid="{64320671-A227-4432-A3D6-CBB4485D0B0F}"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ADC8FA66-5544-41E3-BABD-810093EE8408}" keepAlive="1" name="Query - Issue_Log" description="Connection to the 'Issue_Log' query in the workbook." type="5" refreshedVersion="8" background="1" saveData="1">
    <dbPr connection="Provider=Microsoft.Mashup.OleDb.1;Data Source=$Workbook$;Location=Issue_Log;Extended Properties=&quot;&quot;" command="SELECT * FROM [Issue_Log]"/>
  </connection>
  <connection id="5" xr16:uid="{4785E372-3183-4D9B-9CAF-E85123C1F538}" keepAlive="1" name="Query - TFM_Documents" description="Connection to the 'TFM_Documents' query in the workbook." type="5" refreshedVersion="8" background="1" saveData="1">
    <dbPr connection="Provider=Microsoft.Mashup.OleDb.1;Data Source=$Workbook$;Location=TFM_Documents;Extended Properties=&quot;&quot;" command="SELECT * FROM [TFM_Documents]"/>
  </connection>
  <connection id="6" xr16:uid="{4067FA9A-2317-430D-865B-2733725FE382}" keepAlive="1" name="Query - Training_Tracker" description="Connection to the 'Training_Tracker' query in the workbook." type="5" refreshedVersion="8" background="1" saveData="1">
    <dbPr connection="Provider=Microsoft.Mashup.OleDb.1;Data Source=$Workbook$;Location=Training_Tracker;Extended Properties=&quot;&quot;" command="SELECT * FROM [Training_Tracker]"/>
  </connection>
</connections>
</file>

<file path=xl/sharedStrings.xml><?xml version="1.0" encoding="utf-8"?>
<sst xmlns="http://schemas.openxmlformats.org/spreadsheetml/2006/main" count="1046" uniqueCount="252">
  <si>
    <t>Study ID</t>
  </si>
  <si>
    <t>Person Name</t>
  </si>
  <si>
    <t>Role</t>
  </si>
  <si>
    <t>Training Name</t>
  </si>
  <si>
    <t>Required / Optional</t>
  </si>
  <si>
    <t>Assigned Date</t>
  </si>
  <si>
    <t>Due Date</t>
  </si>
  <si>
    <t>Completed Date</t>
  </si>
  <si>
    <t>Status</t>
  </si>
  <si>
    <t>Days Overdue</t>
  </si>
  <si>
    <t>Notes</t>
  </si>
  <si>
    <t>Issue ID</t>
  </si>
  <si>
    <t>Priority</t>
  </si>
  <si>
    <t>Owner</t>
  </si>
  <si>
    <t>Planned Date</t>
  </si>
  <si>
    <t>Document Name</t>
  </si>
  <si>
    <t>Version</t>
  </si>
  <si>
    <t>QC Status</t>
  </si>
  <si>
    <t>ABC-001</t>
  </si>
  <si>
    <t>Clinical Research Associate</t>
  </si>
  <si>
    <t>GCP Training</t>
  </si>
  <si>
    <t>Marko Petrovic</t>
  </si>
  <si>
    <t>Protocol Training</t>
  </si>
  <si>
    <t>Jelena Nikolic</t>
  </si>
  <si>
    <t>Clinical Trial Assistant</t>
  </si>
  <si>
    <t>TMF Training</t>
  </si>
  <si>
    <t>Stefan Ilic</t>
  </si>
  <si>
    <t>EDC System Training</t>
  </si>
  <si>
    <t>Safety Reporting Training</t>
  </si>
  <si>
    <t>ICH Guidelines Refresher</t>
  </si>
  <si>
    <t>Investigator Meeting Training</t>
  </si>
  <si>
    <t>Data Privacy Training</t>
  </si>
  <si>
    <t>Started?</t>
  </si>
  <si>
    <t>Yes</t>
  </si>
  <si>
    <t>Employee ID</t>
  </si>
  <si>
    <t>Department</t>
  </si>
  <si>
    <t>EMP001</t>
  </si>
  <si>
    <t>Clinical Operations</t>
  </si>
  <si>
    <t>EMP002</t>
  </si>
  <si>
    <t>EMP003</t>
  </si>
  <si>
    <t>EMP004</t>
  </si>
  <si>
    <t>Data Management</t>
  </si>
  <si>
    <t>Ana Markovic Smith</t>
  </si>
  <si>
    <t>Senior Clinical Research Associate</t>
  </si>
  <si>
    <t>Course ID</t>
  </si>
  <si>
    <t>Category</t>
  </si>
  <si>
    <t>Required?</t>
  </si>
  <si>
    <t>Validity Months</t>
  </si>
  <si>
    <t>CRS001</t>
  </si>
  <si>
    <t>GCP</t>
  </si>
  <si>
    <t>CRS002</t>
  </si>
  <si>
    <t>Protocol</t>
  </si>
  <si>
    <t>CRS003</t>
  </si>
  <si>
    <t>TMF</t>
  </si>
  <si>
    <t>CRS004</t>
  </si>
  <si>
    <t>Systems</t>
  </si>
  <si>
    <t>CRS005</t>
  </si>
  <si>
    <t>Safety</t>
  </si>
  <si>
    <t>CRS006</t>
  </si>
  <si>
    <t>No</t>
  </si>
  <si>
    <t>CRS007</t>
  </si>
  <si>
    <t>CRS008</t>
  </si>
  <si>
    <t>Compliance</t>
  </si>
  <si>
    <t>CourseID</t>
  </si>
  <si>
    <t>KPI</t>
  </si>
  <si>
    <t>Completed</t>
  </si>
  <si>
    <t>In Progress</t>
  </si>
  <si>
    <t>Not Started</t>
  </si>
  <si>
    <t>Overdue</t>
  </si>
  <si>
    <t>Training Hours</t>
  </si>
  <si>
    <t>Value</t>
  </si>
  <si>
    <t>Total Training Hours</t>
  </si>
  <si>
    <t>Completed Training Hours</t>
  </si>
  <si>
    <t>Required Training Hours</t>
  </si>
  <si>
    <t>Overdue Training Hours</t>
  </si>
  <si>
    <t>Completed Required Training Hours</t>
  </si>
  <si>
    <t>Overdue Required Training Hours</t>
  </si>
  <si>
    <t>Completed Training Records</t>
  </si>
  <si>
    <t>Overdue Training Records</t>
  </si>
  <si>
    <t>Row Labels</t>
  </si>
  <si>
    <t>Grand Total</t>
  </si>
  <si>
    <t>Column Labels</t>
  </si>
  <si>
    <t>Count of Training Name</t>
  </si>
  <si>
    <t>Sum of Training Hours</t>
  </si>
  <si>
    <t>Check</t>
  </si>
  <si>
    <t>Result</t>
  </si>
  <si>
    <t>Invalid Employee IDs</t>
  </si>
  <si>
    <t>Invalid Course IDs</t>
  </si>
  <si>
    <t>Missing Due Dates</t>
  </si>
  <si>
    <t>Invalid Date Sequence</t>
  </si>
  <si>
    <t>Overall Data Quality</t>
  </si>
  <si>
    <t>Row</t>
  </si>
  <si>
    <t>Employee Check</t>
  </si>
  <si>
    <t>Course Check</t>
  </si>
  <si>
    <t>Due Date Check</t>
  </si>
  <si>
    <t>Date Sequence Check</t>
  </si>
  <si>
    <t>Completion Check</t>
  </si>
  <si>
    <t>Overall Check</t>
  </si>
  <si>
    <t>Overall FAIL Records</t>
  </si>
  <si>
    <t>Overall PASS Records</t>
  </si>
  <si>
    <t>Hourly Rate</t>
  </si>
  <si>
    <t>Non Compliance Cost</t>
  </si>
  <si>
    <t>Clinical Training Compliance Dashboard</t>
  </si>
  <si>
    <t>Document ID</t>
  </si>
  <si>
    <t>TMF Zone</t>
  </si>
  <si>
    <t>Artifact</t>
  </si>
  <si>
    <t>Document Status</t>
  </si>
  <si>
    <t>Date Received</t>
  </si>
  <si>
    <t>ST-001</t>
  </si>
  <si>
    <t>DOC-001</t>
  </si>
  <si>
    <t>Trial Management</t>
  </si>
  <si>
    <t>Study Plan</t>
  </si>
  <si>
    <t>Approved</t>
  </si>
  <si>
    <t>Passed</t>
  </si>
  <si>
    <t>Final approved version</t>
  </si>
  <si>
    <t>DOC-002</t>
  </si>
  <si>
    <t>Current protocol version</t>
  </si>
  <si>
    <t>DOC-003</t>
  </si>
  <si>
    <t>Regulatory</t>
  </si>
  <si>
    <t>Regulatory Approval</t>
  </si>
  <si>
    <t>Pending QC</t>
  </si>
  <si>
    <t>In Review</t>
  </si>
  <si>
    <t>QC review pending</t>
  </si>
  <si>
    <t>DOC-004</t>
  </si>
  <si>
    <t>Safety Management Plan</t>
  </si>
  <si>
    <t>No issues identified</t>
  </si>
  <si>
    <t>ST-002</t>
  </si>
  <si>
    <t>DOC-005</t>
  </si>
  <si>
    <t>Monitoring Plan</t>
  </si>
  <si>
    <t>Draft</t>
  </si>
  <si>
    <t>Awaiting final review</t>
  </si>
  <si>
    <t>DOC-006</t>
  </si>
  <si>
    <t>Site Management</t>
  </si>
  <si>
    <t>Site Initiation Report</t>
  </si>
  <si>
    <t>Filed after site initiation</t>
  </si>
  <si>
    <t>DOC-007</t>
  </si>
  <si>
    <t>Data Management Plan</t>
  </si>
  <si>
    <t>Failed</t>
  </si>
  <si>
    <t>Missing QC evidence</t>
  </si>
  <si>
    <t>DOC-008</t>
  </si>
  <si>
    <t>Ethics Committee Submission</t>
  </si>
  <si>
    <t>Submission package incomplete</t>
  </si>
  <si>
    <t>System Status</t>
  </si>
  <si>
    <t>Missing Document ID</t>
  </si>
  <si>
    <t>Missing Document Name</t>
  </si>
  <si>
    <t>Missing Due Date</t>
  </si>
  <si>
    <t>QC Failed</t>
  </si>
  <si>
    <t>Overall FAIL  Records</t>
  </si>
  <si>
    <t>Total Documents</t>
  </si>
  <si>
    <t>Approved Documents</t>
  </si>
  <si>
    <t>Overdue Documents</t>
  </si>
  <si>
    <t>Pending QC Documents</t>
  </si>
  <si>
    <t>QC Failed Documents</t>
  </si>
  <si>
    <t>Completed Documents</t>
  </si>
  <si>
    <t>Documents in Progress</t>
  </si>
  <si>
    <t>Documents Not Started</t>
  </si>
  <si>
    <t>Count of Document ID</t>
  </si>
  <si>
    <t>Issue Date</t>
  </si>
  <si>
    <t>Issue Category</t>
  </si>
  <si>
    <t>Description</t>
  </si>
  <si>
    <t>Resolution Date</t>
  </si>
  <si>
    <t>Days Open</t>
  </si>
  <si>
    <t>ISS-001</t>
  </si>
  <si>
    <t>System Access</t>
  </si>
  <si>
    <t>CRA unable to access EDC system</t>
  </si>
  <si>
    <t>High</t>
  </si>
  <si>
    <t>Open</t>
  </si>
  <si>
    <t>Access request submitted</t>
  </si>
  <si>
    <t>ISS-002</t>
  </si>
  <si>
    <t>Data Discrepancy</t>
  </si>
  <si>
    <t>Missing subject visit data identified in EDC</t>
  </si>
  <si>
    <t>Medium</t>
  </si>
  <si>
    <t>Data review in progress</t>
  </si>
  <si>
    <t>ISS-003</t>
  </si>
  <si>
    <t>Missing essential document in TMF</t>
  </si>
  <si>
    <t>Document requested from site</t>
  </si>
  <si>
    <t>ISS-004</t>
  </si>
  <si>
    <t>Training</t>
  </si>
  <si>
    <t>Required GCP training not completed</t>
  </si>
  <si>
    <t>Resolved</t>
  </si>
  <si>
    <t>Training completed</t>
  </si>
  <si>
    <t>ISS-005</t>
  </si>
  <si>
    <t>QC</t>
  </si>
  <si>
    <t>Incorrect document version identified</t>
  </si>
  <si>
    <t>Correct version requested</t>
  </si>
  <si>
    <t>ISS-006</t>
  </si>
  <si>
    <t>System Issue</t>
  </si>
  <si>
    <t>EDC page not loading for site user</t>
  </si>
  <si>
    <t>Critical</t>
  </si>
  <si>
    <t>Technical investigation required</t>
  </si>
  <si>
    <t>ISS-007</t>
  </si>
  <si>
    <t>Submission</t>
  </si>
  <si>
    <t>Late regulatory submission package</t>
  </si>
  <si>
    <t>Submission completed</t>
  </si>
  <si>
    <t>ISS-008</t>
  </si>
  <si>
    <t>Data Quality</t>
  </si>
  <si>
    <t>Inconsistent subject data detected during review</t>
  </si>
  <si>
    <t>Requires data verification</t>
  </si>
  <si>
    <t>Overdue?</t>
  </si>
  <si>
    <t>Total Issues</t>
  </si>
  <si>
    <t>Open Issues</t>
  </si>
  <si>
    <t>In Progress Issues</t>
  </si>
  <si>
    <t>Resolved Issues</t>
  </si>
  <si>
    <t>Critical Issues</t>
  </si>
  <si>
    <t>High Priority Issues</t>
  </si>
  <si>
    <t>Overdue Issues</t>
  </si>
  <si>
    <t>Deliverable ID</t>
  </si>
  <si>
    <t>Deliverable Type</t>
  </si>
  <si>
    <t>Deliverable Name</t>
  </si>
  <si>
    <t>Completion Date</t>
  </si>
  <si>
    <t>DEL-001</t>
  </si>
  <si>
    <t>Study Document</t>
  </si>
  <si>
    <t>Final Study Protocol</t>
  </si>
  <si>
    <t>Final approved protocol</t>
  </si>
  <si>
    <t>DEL-002</t>
  </si>
  <si>
    <t>Regulatory Submission Package</t>
  </si>
  <si>
    <t>DEL-003</t>
  </si>
  <si>
    <t>TMF Filing Package</t>
  </si>
  <si>
    <t>Filing in progress</t>
  </si>
  <si>
    <t>DEL-004</t>
  </si>
  <si>
    <t>Data</t>
  </si>
  <si>
    <t>Database Review Report</t>
  </si>
  <si>
    <t>Database review completed</t>
  </si>
  <si>
    <t>DEL-005</t>
  </si>
  <si>
    <t>DEL-006</t>
  </si>
  <si>
    <t>Site initiation completed</t>
  </si>
  <si>
    <t>DEL-007</t>
  </si>
  <si>
    <t>Data management review ongoing</t>
  </si>
  <si>
    <t>DEL-008</t>
  </si>
  <si>
    <t>Submission delayed</t>
  </si>
  <si>
    <t>Total Deliverables</t>
  </si>
  <si>
    <t>Completed Deliverables</t>
  </si>
  <si>
    <t>Overdue Deliverables</t>
  </si>
  <si>
    <t>In Progress Deliverables</t>
  </si>
  <si>
    <t>Draft Deliverables</t>
  </si>
  <si>
    <t>Critical Deliverables</t>
  </si>
  <si>
    <t>High Priority Deliverables</t>
  </si>
  <si>
    <t>Failed Deliverables</t>
  </si>
  <si>
    <t>Employee ID Check</t>
  </si>
  <si>
    <t>Valid</t>
  </si>
  <si>
    <t>Course ID Check</t>
  </si>
  <si>
    <t>Completion Date Check</t>
  </si>
  <si>
    <t>FAIL</t>
  </si>
  <si>
    <t>PASS</t>
  </si>
  <si>
    <t>Not Overdue</t>
  </si>
  <si>
    <t>Document ID Check</t>
  </si>
  <si>
    <t>QC Check</t>
  </si>
  <si>
    <t>Issue ID Check</t>
  </si>
  <si>
    <t>Overall Check PQ</t>
  </si>
  <si>
    <t>On Track</t>
  </si>
  <si>
    <t>Deliverable ID Check</t>
  </si>
  <si>
    <t>Data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</si>
</sst>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font>
      <sz val="11"/>
      <color theme="1"/>
      <name val="Calibri"/>
      <family val="2"/>
      <scheme val="minor"/>
    </font>
    <font>
      <b/>
      <sz val="11"/>
      <color theme="1"/>
      <name val="Calibri"/>
      <family val="2"/>
      <scheme val="minor"/>
    </font>
    <font>
      <b/>
      <sz val="15"/>
      <color theme="3"/>
      <name val="Calibri"/>
      <family val="2"/>
      <scheme val="minor"/>
    </font>
    <font>
      <b/>
      <sz val="14"/>
      <color theme="1"/>
      <name val="Calibri"/>
      <family val="2"/>
      <scheme val="minor"/>
    </font>
    <font>
      <sz val="8"/>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2" fillId="0" borderId="1" applyNumberFormat="0" applyFill="0" applyAlignment="0" applyProtection="0"/>
  </cellStyleXfs>
  <cellXfs count="21">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1" fillId="0" borderId="0" xfId="0" applyFont="1" applyAlignment="1">
      <alignment horizontal="center" vertical="center" wrapText="1"/>
    </xf>
    <xf numFmtId="1"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right" vertical="center" wrapText="1"/>
    </xf>
    <xf numFmtId="0" fontId="1" fillId="0" borderId="0" xfId="0" applyFont="1" applyAlignment="1">
      <alignment horizontal="right" vertical="center" wrapText="1"/>
    </xf>
    <xf numFmtId="164" fontId="0" fillId="0" borderId="0" xfId="0" applyNumberFormat="1"/>
    <xf numFmtId="164" fontId="1" fillId="0" borderId="0" xfId="0" applyNumberFormat="1" applyFont="1" applyAlignment="1">
      <alignment horizontal="center" vertical="center" wrapText="1"/>
    </xf>
    <xf numFmtId="0" fontId="3" fillId="0" borderId="0" xfId="0" applyFont="1"/>
    <xf numFmtId="1" fontId="3" fillId="0" borderId="0" xfId="0" applyNumberFormat="1" applyFont="1"/>
    <xf numFmtId="14" fontId="0" fillId="0" borderId="0" xfId="0" applyNumberFormat="1"/>
    <xf numFmtId="14" fontId="0" fillId="0" borderId="0" xfId="0" applyNumberFormat="1" applyAlignment="1">
      <alignment vertical="center" wrapText="1"/>
    </xf>
    <xf numFmtId="14" fontId="1" fillId="0" borderId="0" xfId="0" applyNumberFormat="1" applyFont="1" applyAlignment="1">
      <alignment horizontal="center" vertical="center" wrapText="1"/>
    </xf>
    <xf numFmtId="0" fontId="5" fillId="0" borderId="0" xfId="0" applyFont="1" applyAlignment="1">
      <alignment vertical="center" wrapText="1"/>
    </xf>
    <xf numFmtId="22" fontId="0" fillId="0" borderId="0" xfId="0" applyNumberFormat="1"/>
    <xf numFmtId="0" fontId="2" fillId="0" borderId="0" xfId="1" applyBorder="1" applyAlignment="1">
      <alignment horizontal="center" vertical="center"/>
    </xf>
    <xf numFmtId="0" fontId="0" fillId="0" borderId="0" xfId="0" applyAlignment="1">
      <alignment horizontal="center" vertical="center"/>
    </xf>
    <xf numFmtId="0" fontId="0" fillId="0" borderId="0" xfId="0" applyNumberFormat="1"/>
  </cellXfs>
  <cellStyles count="2">
    <cellStyle name="Heading 1" xfId="1" builtinId="16"/>
    <cellStyle name="Normal" xfId="0" builtinId="0"/>
  </cellStyles>
  <dxfs count="158">
    <dxf>
      <numFmt numFmtId="27" formatCode="m/d/yyyy\ h:mm"/>
    </dxf>
    <dxf>
      <numFmt numFmtId="27" formatCode="m/d/yyyy\ h:mm"/>
    </dxf>
    <dxf>
      <numFmt numFmtId="27" formatCode="m/d/yyyy\ h:mm"/>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0" tint="-0.24994659260841701"/>
        </patternFill>
      </fill>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strike val="0"/>
        <outline val="0"/>
        <shadow val="0"/>
        <u val="none"/>
        <vertAlign val="baseline"/>
        <sz val="14"/>
        <color theme="1"/>
        <name val="Calibri"/>
        <family val="2"/>
        <scheme val="minor"/>
      </font>
      <numFmt numFmtId="1" formatCode="0"/>
    </dxf>
    <dxf>
      <font>
        <b/>
        <strike val="0"/>
        <outline val="0"/>
        <shadow val="0"/>
        <u val="none"/>
        <vertAlign val="baseline"/>
        <sz val="14"/>
        <color theme="1"/>
        <name val="Calibri"/>
        <family val="2"/>
        <scheme val="minor"/>
      </font>
      <numFmt numFmtId="1" formatCode="0"/>
    </dxf>
    <dxf>
      <font>
        <b/>
        <strike val="0"/>
        <outline val="0"/>
        <shadow val="0"/>
        <u val="none"/>
        <vertAlign val="baseline"/>
        <sz val="14"/>
        <color theme="1"/>
        <name val="Calibri"/>
        <family val="2"/>
        <scheme val="minor"/>
      </font>
    </dxf>
    <dxf>
      <font>
        <b/>
        <strike val="0"/>
        <outline val="0"/>
        <shadow val="0"/>
        <u val="none"/>
        <vertAlign val="baseline"/>
        <sz val="14"/>
        <color theme="1"/>
        <name val="Calibri"/>
        <family val="2"/>
        <scheme val="minor"/>
      </font>
    </dxf>
    <dxf>
      <font>
        <b/>
        <strike val="0"/>
        <outline val="0"/>
        <shadow val="0"/>
        <u val="none"/>
        <vertAlign val="baseline"/>
        <sz val="14"/>
        <color theme="1"/>
        <name val="Calibri"/>
        <family val="2"/>
        <scheme val="minor"/>
      </font>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right"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64" formatCode="&quot;$&quot;#,##0.00"/>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64" formatCode="&quot;$&quot;#,##0.00"/>
      <alignment horizontal="center" vertical="center" textRotation="0" wrapText="1" indent="0" justifyLastLine="0" shrinkToFit="0" readingOrder="0"/>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3.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 Systems Support Tracker Pack.xlsx]Training Pivot - Emp Status!PivotTable1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Pivot - Emp Status'!$B$3:$B$4</c:f>
              <c:strCache>
                <c:ptCount val="1"/>
                <c:pt idx="0">
                  <c:v>Completed</c:v>
                </c:pt>
              </c:strCache>
            </c:strRef>
          </c:tx>
          <c:spPr>
            <a:solidFill>
              <a:schemeClr val="accent1"/>
            </a:solidFill>
            <a:ln>
              <a:noFill/>
            </a:ln>
            <a:effectLst/>
          </c:spPr>
          <c:invertIfNegative val="0"/>
          <c:cat>
            <c:strRef>
              <c:f>'Training Pivot - Emp Status'!$A$5:$A$9</c:f>
              <c:strCache>
                <c:ptCount val="4"/>
                <c:pt idx="0">
                  <c:v>Ana Markovic Smith</c:v>
                </c:pt>
                <c:pt idx="1">
                  <c:v>Jelena Nikolic</c:v>
                </c:pt>
                <c:pt idx="2">
                  <c:v>Marko Petrovic</c:v>
                </c:pt>
                <c:pt idx="3">
                  <c:v>Stefan Ilic</c:v>
                </c:pt>
              </c:strCache>
            </c:strRef>
          </c:cat>
          <c:val>
            <c:numRef>
              <c:f>'Training Pivot - Emp Status'!$B$5:$B$9</c:f>
              <c:numCache>
                <c:formatCode>General</c:formatCode>
                <c:ptCount val="4"/>
                <c:pt idx="0">
                  <c:v>2</c:v>
                </c:pt>
                <c:pt idx="1">
                  <c:v>1</c:v>
                </c:pt>
                <c:pt idx="2">
                  <c:v>1</c:v>
                </c:pt>
              </c:numCache>
            </c:numRef>
          </c:val>
          <c:extLst>
            <c:ext xmlns:c16="http://schemas.microsoft.com/office/drawing/2014/chart" uri="{C3380CC4-5D6E-409C-BE32-E72D297353CC}">
              <c16:uniqueId val="{00000000-5168-4A57-80BA-FC4B493439AB}"/>
            </c:ext>
          </c:extLst>
        </c:ser>
        <c:ser>
          <c:idx val="1"/>
          <c:order val="1"/>
          <c:tx>
            <c:strRef>
              <c:f>'Training Pivot - Emp Status'!$C$3:$C$4</c:f>
              <c:strCache>
                <c:ptCount val="1"/>
                <c:pt idx="0">
                  <c:v>Overdue</c:v>
                </c:pt>
              </c:strCache>
            </c:strRef>
          </c:tx>
          <c:spPr>
            <a:solidFill>
              <a:schemeClr val="accent2"/>
            </a:solidFill>
            <a:ln>
              <a:noFill/>
            </a:ln>
            <a:effectLst/>
          </c:spPr>
          <c:invertIfNegative val="0"/>
          <c:cat>
            <c:strRef>
              <c:f>'Training Pivot - Emp Status'!$A$5:$A$9</c:f>
              <c:strCache>
                <c:ptCount val="4"/>
                <c:pt idx="0">
                  <c:v>Ana Markovic Smith</c:v>
                </c:pt>
                <c:pt idx="1">
                  <c:v>Jelena Nikolic</c:v>
                </c:pt>
                <c:pt idx="2">
                  <c:v>Marko Petrovic</c:v>
                </c:pt>
                <c:pt idx="3">
                  <c:v>Stefan Ilic</c:v>
                </c:pt>
              </c:strCache>
            </c:strRef>
          </c:cat>
          <c:val>
            <c:numRef>
              <c:f>'Training Pivot - Emp Status'!$C$5:$C$9</c:f>
              <c:numCache>
                <c:formatCode>General</c:formatCode>
                <c:ptCount val="4"/>
                <c:pt idx="1">
                  <c:v>1</c:v>
                </c:pt>
                <c:pt idx="2">
                  <c:v>1</c:v>
                </c:pt>
                <c:pt idx="3">
                  <c:v>2</c:v>
                </c:pt>
              </c:numCache>
            </c:numRef>
          </c:val>
          <c:extLst>
            <c:ext xmlns:c16="http://schemas.microsoft.com/office/drawing/2014/chart" uri="{C3380CC4-5D6E-409C-BE32-E72D297353CC}">
              <c16:uniqueId val="{00000004-5168-4A57-80BA-FC4B493439AB}"/>
            </c:ext>
          </c:extLst>
        </c:ser>
        <c:dLbls>
          <c:showLegendKey val="0"/>
          <c:showVal val="0"/>
          <c:showCatName val="0"/>
          <c:showSerName val="0"/>
          <c:showPercent val="0"/>
          <c:showBubbleSize val="0"/>
        </c:dLbls>
        <c:gapWidth val="219"/>
        <c:overlap val="-27"/>
        <c:axId val="1619890496"/>
        <c:axId val="1619888576"/>
      </c:barChart>
      <c:catAx>
        <c:axId val="161989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88576"/>
        <c:crosses val="autoZero"/>
        <c:auto val="1"/>
        <c:lblAlgn val="ctr"/>
        <c:lblOffset val="100"/>
        <c:noMultiLvlLbl val="0"/>
      </c:catAx>
      <c:valAx>
        <c:axId val="16198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 Systems Support Tracker Pack.xlsx]Training Pivot - Hours!PivotTable4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Pivot - Hours'!$B$3:$B$4</c:f>
              <c:strCache>
                <c:ptCount val="1"/>
                <c:pt idx="0">
                  <c:v>Completed</c:v>
                </c:pt>
              </c:strCache>
            </c:strRef>
          </c:tx>
          <c:spPr>
            <a:solidFill>
              <a:schemeClr val="accent1"/>
            </a:solidFill>
            <a:ln>
              <a:noFill/>
            </a:ln>
            <a:effectLst/>
          </c:spPr>
          <c:invertIfNegative val="0"/>
          <c:cat>
            <c:strRef>
              <c:f>'Training Pivot - Hours'!$A$5:$A$9</c:f>
              <c:strCache>
                <c:ptCount val="4"/>
                <c:pt idx="0">
                  <c:v>Ana Markovic Smith</c:v>
                </c:pt>
                <c:pt idx="1">
                  <c:v>Jelena Nikolic</c:v>
                </c:pt>
                <c:pt idx="2">
                  <c:v>Marko Petrovic</c:v>
                </c:pt>
                <c:pt idx="3">
                  <c:v>Stefan Ilic</c:v>
                </c:pt>
              </c:strCache>
            </c:strRef>
          </c:cat>
          <c:val>
            <c:numRef>
              <c:f>'Training Pivot - Hours'!$B$5:$B$9</c:f>
              <c:numCache>
                <c:formatCode>General</c:formatCode>
                <c:ptCount val="4"/>
                <c:pt idx="0">
                  <c:v>8</c:v>
                </c:pt>
                <c:pt idx="1">
                  <c:v>2</c:v>
                </c:pt>
                <c:pt idx="2">
                  <c:v>5</c:v>
                </c:pt>
              </c:numCache>
            </c:numRef>
          </c:val>
          <c:extLst>
            <c:ext xmlns:c16="http://schemas.microsoft.com/office/drawing/2014/chart" uri="{C3380CC4-5D6E-409C-BE32-E72D297353CC}">
              <c16:uniqueId val="{00000000-8D23-40A5-84D1-83063023D4F0}"/>
            </c:ext>
          </c:extLst>
        </c:ser>
        <c:ser>
          <c:idx val="1"/>
          <c:order val="1"/>
          <c:tx>
            <c:strRef>
              <c:f>'Training Pivot - Hours'!$C$3:$C$4</c:f>
              <c:strCache>
                <c:ptCount val="1"/>
                <c:pt idx="0">
                  <c:v>Overdue</c:v>
                </c:pt>
              </c:strCache>
            </c:strRef>
          </c:tx>
          <c:spPr>
            <a:solidFill>
              <a:schemeClr val="accent2"/>
            </a:solidFill>
            <a:ln>
              <a:noFill/>
            </a:ln>
            <a:effectLst/>
          </c:spPr>
          <c:invertIfNegative val="0"/>
          <c:cat>
            <c:strRef>
              <c:f>'Training Pivot - Hours'!$A$5:$A$9</c:f>
              <c:strCache>
                <c:ptCount val="4"/>
                <c:pt idx="0">
                  <c:v>Ana Markovic Smith</c:v>
                </c:pt>
                <c:pt idx="1">
                  <c:v>Jelena Nikolic</c:v>
                </c:pt>
                <c:pt idx="2">
                  <c:v>Marko Petrovic</c:v>
                </c:pt>
                <c:pt idx="3">
                  <c:v>Stefan Ilic</c:v>
                </c:pt>
              </c:strCache>
            </c:strRef>
          </c:cat>
          <c:val>
            <c:numRef>
              <c:f>'Training Pivot - Hours'!$C$5:$C$9</c:f>
              <c:numCache>
                <c:formatCode>General</c:formatCode>
                <c:ptCount val="4"/>
                <c:pt idx="1">
                  <c:v>2</c:v>
                </c:pt>
                <c:pt idx="2">
                  <c:v>3</c:v>
                </c:pt>
                <c:pt idx="3">
                  <c:v>5</c:v>
                </c:pt>
              </c:numCache>
            </c:numRef>
          </c:val>
          <c:extLst>
            <c:ext xmlns:c16="http://schemas.microsoft.com/office/drawing/2014/chart" uri="{C3380CC4-5D6E-409C-BE32-E72D297353CC}">
              <c16:uniqueId val="{00000001-8D23-40A5-84D1-83063023D4F0}"/>
            </c:ext>
          </c:extLst>
        </c:ser>
        <c:dLbls>
          <c:showLegendKey val="0"/>
          <c:showVal val="0"/>
          <c:showCatName val="0"/>
          <c:showSerName val="0"/>
          <c:showPercent val="0"/>
          <c:showBubbleSize val="0"/>
        </c:dLbls>
        <c:gapWidth val="219"/>
        <c:overlap val="-27"/>
        <c:axId val="457763504"/>
        <c:axId val="457766384"/>
      </c:barChart>
      <c:catAx>
        <c:axId val="45776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66384"/>
        <c:crosses val="autoZero"/>
        <c:auto val="1"/>
        <c:lblAlgn val="ctr"/>
        <c:lblOffset val="100"/>
        <c:noMultiLvlLbl val="0"/>
      </c:catAx>
      <c:valAx>
        <c:axId val="45776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6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 Systems Support Tracker Pack.xlsx]Training Pivot - Emp Status!PivotTable1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 Pivot - Emp Status'!$B$3:$B$4</c:f>
              <c:strCache>
                <c:ptCount val="1"/>
                <c:pt idx="0">
                  <c:v>Completed</c:v>
                </c:pt>
              </c:strCache>
            </c:strRef>
          </c:tx>
          <c:spPr>
            <a:solidFill>
              <a:schemeClr val="accent1"/>
            </a:solidFill>
            <a:ln>
              <a:noFill/>
            </a:ln>
            <a:effectLst/>
          </c:spPr>
          <c:invertIfNegative val="0"/>
          <c:cat>
            <c:strRef>
              <c:f>'Training Pivot - Emp Status'!$A$5:$A$9</c:f>
              <c:strCache>
                <c:ptCount val="4"/>
                <c:pt idx="0">
                  <c:v>Ana Markovic Smith</c:v>
                </c:pt>
                <c:pt idx="1">
                  <c:v>Jelena Nikolic</c:v>
                </c:pt>
                <c:pt idx="2">
                  <c:v>Marko Petrovic</c:v>
                </c:pt>
                <c:pt idx="3">
                  <c:v>Stefan Ilic</c:v>
                </c:pt>
              </c:strCache>
            </c:strRef>
          </c:cat>
          <c:val>
            <c:numRef>
              <c:f>'Training Pivot - Emp Status'!$B$5:$B$9</c:f>
              <c:numCache>
                <c:formatCode>General</c:formatCode>
                <c:ptCount val="4"/>
                <c:pt idx="0">
                  <c:v>2</c:v>
                </c:pt>
                <c:pt idx="1">
                  <c:v>1</c:v>
                </c:pt>
                <c:pt idx="2">
                  <c:v>1</c:v>
                </c:pt>
              </c:numCache>
            </c:numRef>
          </c:val>
          <c:extLst>
            <c:ext xmlns:c16="http://schemas.microsoft.com/office/drawing/2014/chart" uri="{C3380CC4-5D6E-409C-BE32-E72D297353CC}">
              <c16:uniqueId val="{00000000-55A6-41DA-93E5-368BAE0055DA}"/>
            </c:ext>
          </c:extLst>
        </c:ser>
        <c:ser>
          <c:idx val="1"/>
          <c:order val="1"/>
          <c:tx>
            <c:strRef>
              <c:f>'Training Pivot - Emp Status'!$C$3:$C$4</c:f>
              <c:strCache>
                <c:ptCount val="1"/>
                <c:pt idx="0">
                  <c:v>Overdue</c:v>
                </c:pt>
              </c:strCache>
            </c:strRef>
          </c:tx>
          <c:spPr>
            <a:solidFill>
              <a:schemeClr val="accent2"/>
            </a:solidFill>
            <a:ln>
              <a:noFill/>
            </a:ln>
            <a:effectLst/>
          </c:spPr>
          <c:invertIfNegative val="0"/>
          <c:cat>
            <c:strRef>
              <c:f>'Training Pivot - Emp Status'!$A$5:$A$9</c:f>
              <c:strCache>
                <c:ptCount val="4"/>
                <c:pt idx="0">
                  <c:v>Ana Markovic Smith</c:v>
                </c:pt>
                <c:pt idx="1">
                  <c:v>Jelena Nikolic</c:v>
                </c:pt>
                <c:pt idx="2">
                  <c:v>Marko Petrovic</c:v>
                </c:pt>
                <c:pt idx="3">
                  <c:v>Stefan Ilic</c:v>
                </c:pt>
              </c:strCache>
            </c:strRef>
          </c:cat>
          <c:val>
            <c:numRef>
              <c:f>'Training Pivot - Emp Status'!$C$5:$C$9</c:f>
              <c:numCache>
                <c:formatCode>General</c:formatCode>
                <c:ptCount val="4"/>
                <c:pt idx="1">
                  <c:v>1</c:v>
                </c:pt>
                <c:pt idx="2">
                  <c:v>1</c:v>
                </c:pt>
                <c:pt idx="3">
                  <c:v>2</c:v>
                </c:pt>
              </c:numCache>
            </c:numRef>
          </c:val>
          <c:extLst>
            <c:ext xmlns:c16="http://schemas.microsoft.com/office/drawing/2014/chart" uri="{C3380CC4-5D6E-409C-BE32-E72D297353CC}">
              <c16:uniqueId val="{00000001-55A6-41DA-93E5-368BAE0055DA}"/>
            </c:ext>
          </c:extLst>
        </c:ser>
        <c:dLbls>
          <c:showLegendKey val="0"/>
          <c:showVal val="0"/>
          <c:showCatName val="0"/>
          <c:showSerName val="0"/>
          <c:showPercent val="0"/>
          <c:showBubbleSize val="0"/>
        </c:dLbls>
        <c:gapWidth val="219"/>
        <c:overlap val="-27"/>
        <c:axId val="1619890496"/>
        <c:axId val="1619888576"/>
      </c:barChart>
      <c:catAx>
        <c:axId val="161989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88576"/>
        <c:crosses val="autoZero"/>
        <c:auto val="1"/>
        <c:lblAlgn val="ctr"/>
        <c:lblOffset val="100"/>
        <c:noMultiLvlLbl val="0"/>
      </c:catAx>
      <c:valAx>
        <c:axId val="1619888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9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 Systems Support Tracker Pack.xlsx]TMF Pivot Status!PivotTable9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'TMF Pivot Status'!$B$3:$B$4</c:f>
              <c:strCache>
                <c:ptCount val="1"/>
                <c:pt idx="0">
                  <c:v>Data Management</c:v>
                </c:pt>
              </c:strCache>
            </c:strRef>
          </c:tx>
          <c:spPr>
            <a:solidFill>
              <a:schemeClr val="accent1"/>
            </a:solidFill>
            <a:ln>
              <a:noFill/>
            </a:ln>
            <a:effectLst/>
          </c:spPr>
          <c:invertIfNegative val="0"/>
          <c:cat>
            <c:strRef>
              <c:f>'TMF Pivot Status'!$A$5:$A$9</c:f>
              <c:strCache>
                <c:ptCount val="4"/>
                <c:pt idx="0">
                  <c:v>Approved</c:v>
                </c:pt>
                <c:pt idx="1">
                  <c:v>Draft</c:v>
                </c:pt>
                <c:pt idx="2">
                  <c:v>Overdue</c:v>
                </c:pt>
                <c:pt idx="3">
                  <c:v>Pending QC</c:v>
                </c:pt>
              </c:strCache>
            </c:strRef>
          </c:cat>
          <c:val>
            <c:numRef>
              <c:f>'TMF Pivot Status'!$B$5:$B$9</c:f>
              <c:numCache>
                <c:formatCode>General</c:formatCode>
                <c:ptCount val="4"/>
                <c:pt idx="3">
                  <c:v>1</c:v>
                </c:pt>
              </c:numCache>
            </c:numRef>
          </c:val>
          <c:extLst>
            <c:ext xmlns:c16="http://schemas.microsoft.com/office/drawing/2014/chart" uri="{C3380CC4-5D6E-409C-BE32-E72D297353CC}">
              <c16:uniqueId val="{00000000-D5C3-470F-A772-7420D10A8288}"/>
            </c:ext>
          </c:extLst>
        </c:ser>
        <c:ser>
          <c:idx val="1"/>
          <c:order val="1"/>
          <c:tx>
            <c:strRef>
              <c:f>'TMF Pivot Status'!$C$3:$C$4</c:f>
              <c:strCache>
                <c:ptCount val="1"/>
                <c:pt idx="0">
                  <c:v>Regulatory</c:v>
                </c:pt>
              </c:strCache>
            </c:strRef>
          </c:tx>
          <c:spPr>
            <a:solidFill>
              <a:schemeClr val="accent2"/>
            </a:solidFill>
            <a:ln>
              <a:noFill/>
            </a:ln>
            <a:effectLst/>
          </c:spPr>
          <c:invertIfNegative val="0"/>
          <c:cat>
            <c:strRef>
              <c:f>'TMF Pivot Status'!$A$5:$A$9</c:f>
              <c:strCache>
                <c:ptCount val="4"/>
                <c:pt idx="0">
                  <c:v>Approved</c:v>
                </c:pt>
                <c:pt idx="1">
                  <c:v>Draft</c:v>
                </c:pt>
                <c:pt idx="2">
                  <c:v>Overdue</c:v>
                </c:pt>
                <c:pt idx="3">
                  <c:v>Pending QC</c:v>
                </c:pt>
              </c:strCache>
            </c:strRef>
          </c:cat>
          <c:val>
            <c:numRef>
              <c:f>'TMF Pivot Status'!$C$5:$C$9</c:f>
              <c:numCache>
                <c:formatCode>General</c:formatCode>
                <c:ptCount val="4"/>
                <c:pt idx="2">
                  <c:v>1</c:v>
                </c:pt>
                <c:pt idx="3">
                  <c:v>1</c:v>
                </c:pt>
              </c:numCache>
            </c:numRef>
          </c:val>
          <c:extLst>
            <c:ext xmlns:c16="http://schemas.microsoft.com/office/drawing/2014/chart" uri="{C3380CC4-5D6E-409C-BE32-E72D297353CC}">
              <c16:uniqueId val="{00000001-D5C3-470F-A772-7420D10A8288}"/>
            </c:ext>
          </c:extLst>
        </c:ser>
        <c:ser>
          <c:idx val="2"/>
          <c:order val="2"/>
          <c:tx>
            <c:strRef>
              <c:f>'TMF Pivot Status'!$D$3:$D$4</c:f>
              <c:strCache>
                <c:ptCount val="1"/>
                <c:pt idx="0">
                  <c:v>Safety</c:v>
                </c:pt>
              </c:strCache>
            </c:strRef>
          </c:tx>
          <c:spPr>
            <a:solidFill>
              <a:schemeClr val="accent3"/>
            </a:solidFill>
            <a:ln>
              <a:noFill/>
            </a:ln>
            <a:effectLst/>
          </c:spPr>
          <c:invertIfNegative val="0"/>
          <c:cat>
            <c:strRef>
              <c:f>'TMF Pivot Status'!$A$5:$A$9</c:f>
              <c:strCache>
                <c:ptCount val="4"/>
                <c:pt idx="0">
                  <c:v>Approved</c:v>
                </c:pt>
                <c:pt idx="1">
                  <c:v>Draft</c:v>
                </c:pt>
                <c:pt idx="2">
                  <c:v>Overdue</c:v>
                </c:pt>
                <c:pt idx="3">
                  <c:v>Pending QC</c:v>
                </c:pt>
              </c:strCache>
            </c:strRef>
          </c:cat>
          <c:val>
            <c:numRef>
              <c:f>'TMF Pivot Status'!$D$5:$D$9</c:f>
              <c:numCache>
                <c:formatCode>General</c:formatCode>
                <c:ptCount val="4"/>
                <c:pt idx="0">
                  <c:v>1</c:v>
                </c:pt>
              </c:numCache>
            </c:numRef>
          </c:val>
          <c:extLst>
            <c:ext xmlns:c16="http://schemas.microsoft.com/office/drawing/2014/chart" uri="{C3380CC4-5D6E-409C-BE32-E72D297353CC}">
              <c16:uniqueId val="{00000002-D5C3-470F-A772-7420D10A8288}"/>
            </c:ext>
          </c:extLst>
        </c:ser>
        <c:ser>
          <c:idx val="3"/>
          <c:order val="3"/>
          <c:tx>
            <c:strRef>
              <c:f>'TMF Pivot Status'!$E$3:$E$4</c:f>
              <c:strCache>
                <c:ptCount val="1"/>
                <c:pt idx="0">
                  <c:v>Site Management</c:v>
                </c:pt>
              </c:strCache>
            </c:strRef>
          </c:tx>
          <c:spPr>
            <a:solidFill>
              <a:schemeClr val="accent4"/>
            </a:solidFill>
            <a:ln>
              <a:noFill/>
            </a:ln>
            <a:effectLst/>
          </c:spPr>
          <c:invertIfNegative val="0"/>
          <c:cat>
            <c:strRef>
              <c:f>'TMF Pivot Status'!$A$5:$A$9</c:f>
              <c:strCache>
                <c:ptCount val="4"/>
                <c:pt idx="0">
                  <c:v>Approved</c:v>
                </c:pt>
                <c:pt idx="1">
                  <c:v>Draft</c:v>
                </c:pt>
                <c:pt idx="2">
                  <c:v>Overdue</c:v>
                </c:pt>
                <c:pt idx="3">
                  <c:v>Pending QC</c:v>
                </c:pt>
              </c:strCache>
            </c:strRef>
          </c:cat>
          <c:val>
            <c:numRef>
              <c:f>'TMF Pivot Status'!$E$5:$E$9</c:f>
              <c:numCache>
                <c:formatCode>General</c:formatCode>
                <c:ptCount val="4"/>
                <c:pt idx="0">
                  <c:v>1</c:v>
                </c:pt>
              </c:numCache>
            </c:numRef>
          </c:val>
          <c:extLst>
            <c:ext xmlns:c16="http://schemas.microsoft.com/office/drawing/2014/chart" uri="{C3380CC4-5D6E-409C-BE32-E72D297353CC}">
              <c16:uniqueId val="{00000003-D5C3-470F-A772-7420D10A8288}"/>
            </c:ext>
          </c:extLst>
        </c:ser>
        <c:ser>
          <c:idx val="4"/>
          <c:order val="4"/>
          <c:tx>
            <c:strRef>
              <c:f>'TMF Pivot Status'!$F$3:$F$4</c:f>
              <c:strCache>
                <c:ptCount val="1"/>
                <c:pt idx="0">
                  <c:v>Trial Management</c:v>
                </c:pt>
              </c:strCache>
            </c:strRef>
          </c:tx>
          <c:spPr>
            <a:solidFill>
              <a:schemeClr val="accent5"/>
            </a:solidFill>
            <a:ln>
              <a:noFill/>
            </a:ln>
            <a:effectLst/>
          </c:spPr>
          <c:invertIfNegative val="0"/>
          <c:cat>
            <c:strRef>
              <c:f>'TMF Pivot Status'!$A$5:$A$9</c:f>
              <c:strCache>
                <c:ptCount val="4"/>
                <c:pt idx="0">
                  <c:v>Approved</c:v>
                </c:pt>
                <c:pt idx="1">
                  <c:v>Draft</c:v>
                </c:pt>
                <c:pt idx="2">
                  <c:v>Overdue</c:v>
                </c:pt>
                <c:pt idx="3">
                  <c:v>Pending QC</c:v>
                </c:pt>
              </c:strCache>
            </c:strRef>
          </c:cat>
          <c:val>
            <c:numRef>
              <c:f>'TMF Pivot Status'!$F$5:$F$9</c:f>
              <c:numCache>
                <c:formatCode>General</c:formatCode>
                <c:ptCount val="4"/>
                <c:pt idx="0">
                  <c:v>2</c:v>
                </c:pt>
                <c:pt idx="1">
                  <c:v>1</c:v>
                </c:pt>
              </c:numCache>
            </c:numRef>
          </c:val>
          <c:extLst>
            <c:ext xmlns:c16="http://schemas.microsoft.com/office/drawing/2014/chart" uri="{C3380CC4-5D6E-409C-BE32-E72D297353CC}">
              <c16:uniqueId val="{00000004-D5C3-470F-A772-7420D10A8288}"/>
            </c:ext>
          </c:extLst>
        </c:ser>
        <c:dLbls>
          <c:showLegendKey val="0"/>
          <c:showVal val="0"/>
          <c:showCatName val="0"/>
          <c:showSerName val="0"/>
          <c:showPercent val="0"/>
          <c:showBubbleSize val="0"/>
        </c:dLbls>
        <c:gapWidth val="219"/>
        <c:overlap val="-27"/>
        <c:axId val="457776944"/>
        <c:axId val="457782704"/>
      </c:barChart>
      <c:catAx>
        <c:axId val="45777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82704"/>
        <c:crosses val="autoZero"/>
        <c:auto val="1"/>
        <c:lblAlgn val="ctr"/>
        <c:lblOffset val="100"/>
        <c:noMultiLvlLbl val="0"/>
      </c:catAx>
      <c:valAx>
        <c:axId val="45778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7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228600</xdr:colOff>
      <xdr:row>11</xdr:row>
      <xdr:rowOff>87630</xdr:rowOff>
    </xdr:from>
    <xdr:to>
      <xdr:col>5</xdr:col>
      <xdr:colOff>487680</xdr:colOff>
      <xdr:row>26</xdr:row>
      <xdr:rowOff>87630</xdr:rowOff>
    </xdr:to>
    <xdr:graphicFrame macro="">
      <xdr:nvGraphicFramePr>
        <xdr:cNvPr id="3" name="Chart 2">
          <a:extLst>
            <a:ext uri="{FF2B5EF4-FFF2-40B4-BE49-F238E27FC236}">
              <a16:creationId xmlns:a16="http://schemas.microsoft.com/office/drawing/2014/main" id="{6C16E0FD-B623-C4BB-9600-737B4524A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381000</xdr:colOff>
      <xdr:row>0</xdr:row>
      <xdr:rowOff>114300</xdr:rowOff>
    </xdr:from>
    <xdr:to>
      <xdr:col>15</xdr:col>
      <xdr:colOff>381000</xdr:colOff>
      <xdr:row>14</xdr:row>
      <xdr:rowOff>20955</xdr:rowOff>
    </xdr:to>
    <mc:AlternateContent xmlns:mc="http://schemas.openxmlformats.org/markup-compatibility/2006" xmlns:a14="http://schemas.microsoft.com/office/drawing/2010/main">
      <mc:Choice Requires="a14">
        <xdr:graphicFrame macro="">
          <xdr:nvGraphicFramePr>
            <xdr:cNvPr id="4" name="Role">
              <a:extLst>
                <a:ext uri="{FF2B5EF4-FFF2-40B4-BE49-F238E27FC236}">
                  <a16:creationId xmlns:a16="http://schemas.microsoft.com/office/drawing/2014/main" id="{3BE9B789-410D-66C6-0C0A-A783CCEFE69F}"/>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922020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205740</xdr:colOff>
      <xdr:row>0</xdr:row>
      <xdr:rowOff>106680</xdr:rowOff>
    </xdr:from>
    <xdr:to>
      <xdr:col>9</xdr:col>
      <xdr:colOff>205740</xdr:colOff>
      <xdr:row>14</xdr:row>
      <xdr:rowOff>13335</xdr:rowOff>
    </xdr:to>
    <mc:AlternateContent xmlns:mc="http://schemas.openxmlformats.org/markup-compatibility/2006" xmlns:a14="http://schemas.microsoft.com/office/drawing/2010/main">
      <mc:Choice Requires="a14">
        <xdr:graphicFrame macro="">
          <xdr:nvGraphicFramePr>
            <xdr:cNvPr id="5" name="Required / Optional">
              <a:extLst>
                <a:ext uri="{FF2B5EF4-FFF2-40B4-BE49-F238E27FC236}">
                  <a16:creationId xmlns:a16="http://schemas.microsoft.com/office/drawing/2014/main" id="{48DBF57B-0A85-8393-2513-0038692AAD19}"/>
                </a:ext>
              </a:extLst>
            </xdr:cNvPr>
            <xdr:cNvGraphicFramePr/>
          </xdr:nvGraphicFramePr>
          <xdr:xfrm>
            <a:off x="0" y="0"/>
            <a:ext cx="0" cy="0"/>
          </xdr:xfrm>
          <a:graphic>
            <a:graphicData uri="http://schemas.microsoft.com/office/drawing/2010/slicer">
              <sle:slicer xmlns:sle="http://schemas.microsoft.com/office/drawing/2010/slicer" name="Required / Optional"/>
            </a:graphicData>
          </a:graphic>
        </xdr:graphicFrame>
      </mc:Choice>
      <mc:Fallback xmlns="">
        <xdr:sp macro="" textlink="">
          <xdr:nvSpPr>
            <xdr:cNvPr id="0" name=""/>
            <xdr:cNvSpPr>
              <a:spLocks noTextEdit="1"/>
            </xdr:cNvSpPr>
          </xdr:nvSpPr>
          <xdr:spPr>
            <a:xfrm>
              <a:off x="5387340" y="106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0</xdr:row>
      <xdr:rowOff>114300</xdr:rowOff>
    </xdr:from>
    <xdr:to>
      <xdr:col>12</xdr:col>
      <xdr:colOff>320040</xdr:colOff>
      <xdr:row>14</xdr:row>
      <xdr:rowOff>20955</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0FD5AD9B-32F2-7B4F-C827-9492ED89493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33044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144780</xdr:rowOff>
    </xdr:from>
    <xdr:to>
      <xdr:col>2</xdr:col>
      <xdr:colOff>1531620</xdr:colOff>
      <xdr:row>18</xdr:row>
      <xdr:rowOff>144780</xdr:rowOff>
    </xdr:to>
    <xdr:graphicFrame macro="">
      <xdr:nvGraphicFramePr>
        <xdr:cNvPr id="4" name="Chart 3">
          <a:extLst>
            <a:ext uri="{FF2B5EF4-FFF2-40B4-BE49-F238E27FC236}">
              <a16:creationId xmlns:a16="http://schemas.microsoft.com/office/drawing/2014/main" id="{07A79C4A-41E3-4F6D-BBA1-E3873FC10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1569720</xdr:colOff>
      <xdr:row>3</xdr:row>
      <xdr:rowOff>144780</xdr:rowOff>
    </xdr:from>
    <xdr:to>
      <xdr:col>5</xdr:col>
      <xdr:colOff>1196340</xdr:colOff>
      <xdr:row>18</xdr:row>
      <xdr:rowOff>144780</xdr:rowOff>
    </xdr:to>
    <xdr:graphicFrame macro="">
      <xdr:nvGraphicFramePr>
        <xdr:cNvPr id="5" name="Chart 4">
          <a:extLst>
            <a:ext uri="{FF2B5EF4-FFF2-40B4-BE49-F238E27FC236}">
              <a16:creationId xmlns:a16="http://schemas.microsoft.com/office/drawing/2014/main" id="{E9A4DDAB-1E58-42F3-AEEA-12EB56752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426720</xdr:colOff>
      <xdr:row>1</xdr:row>
      <xdr:rowOff>30480</xdr:rowOff>
    </xdr:from>
    <xdr:to>
      <xdr:col>12</xdr:col>
      <xdr:colOff>487680</xdr:colOff>
      <xdr:row>5</xdr:row>
      <xdr:rowOff>396240</xdr:rowOff>
    </xdr:to>
    <xdr:graphicFrame macro="">
      <xdr:nvGraphicFramePr>
        <xdr:cNvPr id="2" name="Chart 1">
          <a:extLst>
            <a:ext uri="{FF2B5EF4-FFF2-40B4-BE49-F238E27FC236}">
              <a16:creationId xmlns:a16="http://schemas.microsoft.com/office/drawing/2014/main" id="{BAB19407-FAE8-4A84-AD1E-85EBAE1C5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763341550926" createdVersion="8" refreshedVersion="8" minRefreshableVersion="3" recordCount="8" xr:uid="{243C502A-25C5-44F9-8A7D-64FE45971138}">
  <cacheSource type="worksheet">
    <worksheetSource name="Training_Tracker"/>
  </cacheSource>
  <cacheFields count="17">
    <cacheField name="Study ID" numFmtId="0">
      <sharedItems/>
    </cacheField>
    <cacheField name="Employee ID" numFmtId="0">
      <sharedItems/>
    </cacheField>
    <cacheField name="CourseID" numFmtId="0">
      <sharedItems/>
    </cacheField>
    <cacheField name="Person Name" numFmtId="0">
      <sharedItems containsBlank="1" count="6">
        <s v="Ana Markovic Smith"/>
        <s v="Marko Petrovic"/>
        <s v="Jelena Nikolic"/>
        <s v="Stefan Ilic"/>
        <s v="Employee not found" u="1"/>
        <m u="1"/>
      </sharedItems>
    </cacheField>
    <cacheField name="Role" numFmtId="0">
      <sharedItems containsBlank="1" count="7">
        <s v="Senior Clinical Research Associate"/>
        <s v="Clinical Research Associate"/>
        <s v="Clinical Trial Assistant"/>
        <s v="Data Manager"/>
        <s v="Data Manager TEST" u="1"/>
        <s v="Role not found" u="1"/>
        <m u="1"/>
      </sharedItems>
    </cacheField>
    <cacheField name="Training Name" numFmtId="0">
      <sharedItems containsBlank="1" count="9">
        <s v="GCP Training"/>
        <s v="Protocol Training"/>
        <s v="TMF Training"/>
        <s v="EDC System Training"/>
        <s v="Safety Reporting Training"/>
        <s v="ICH Guidelines Refresher"/>
        <s v="Investigator Meeting Training"/>
        <s v="Data Privacy Training"/>
        <m u="1"/>
      </sharedItems>
    </cacheField>
    <cacheField name="Training Hours" numFmtId="0">
      <sharedItems containsSemiMixedTypes="0" containsString="0" containsNumber="1" containsInteger="1" minValue="2" maxValue="5"/>
    </cacheField>
    <cacheField name="Required / Optional" numFmtId="0">
      <sharedItems containsBlank="1" count="3">
        <s v="Yes"/>
        <s v="No"/>
        <m u="1"/>
      </sharedItems>
    </cacheField>
    <cacheField name="Assigned Date" numFmtId="15">
      <sharedItems containsSemiMixedTypes="0" containsNonDate="0" containsDate="1" containsString="0" minDate="2026-08-01T00:00:00" maxDate="2026-08-09T00:00:00"/>
    </cacheField>
    <cacheField name="Due Date" numFmtId="15">
      <sharedItems containsSemiMixedTypes="0" containsNonDate="0" containsDate="1" containsString="0" minDate="2026-08-08T00:00:00" maxDate="2026-08-21T00:00:00"/>
    </cacheField>
    <cacheField name="Completed Date" numFmtId="0">
      <sharedItems containsNonDate="0" containsDate="1" containsString="0" containsBlank="1" minDate="2026-08-06T00:00:00" maxDate="2026-08-15T00:00:00"/>
    </cacheField>
    <cacheField name="Status" numFmtId="0">
      <sharedItems containsBlank="1" count="3">
        <s v="Completed"/>
        <s v="Overdue"/>
        <m u="1"/>
      </sharedItems>
    </cacheField>
    <cacheField name="Started?" numFmtId="0">
      <sharedItems/>
    </cacheField>
    <cacheField name="Days Overdue" numFmtId="0">
      <sharedItems containsSemiMixedTypes="0" containsString="0" containsNumber="1" containsInteger="1" minValue="0" maxValue="57"/>
    </cacheField>
    <cacheField name="Hourly Rate" numFmtId="164">
      <sharedItems containsNonDate="0" containsString="0" containsBlank="1"/>
    </cacheField>
    <cacheField name="Non Compliance Cost" numFmtId="164">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pivotCacheId="15188991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763342245373" createdVersion="8" refreshedVersion="8" minRefreshableVersion="3" recordCount="8" xr:uid="{9C3F8108-513B-4232-9712-A673A2686C1F}">
  <cacheSource type="worksheet">
    <worksheetSource name="TFM_Documents"/>
  </cacheSource>
  <cacheFields count="15">
    <cacheField name="Study ID" numFmtId="0">
      <sharedItems/>
    </cacheField>
    <cacheField name="Document ID" numFmtId="0">
      <sharedItems/>
    </cacheField>
    <cacheField name="TMF Zone" numFmtId="0">
      <sharedItems count="5">
        <s v="Trial Management"/>
        <s v="Regulatory"/>
        <s v="Safety"/>
        <s v="Site Management"/>
        <s v="Data Management"/>
      </sharedItems>
    </cacheField>
    <cacheField name="Artifact" numFmtId="0">
      <sharedItems containsSemiMixedTypes="0" containsString="0" containsNumber="1" containsInteger="1" minValue="1" maxValue="3"/>
    </cacheField>
    <cacheField name="Document Name" numFmtId="0">
      <sharedItems/>
    </cacheField>
    <cacheField name="Version" numFmtId="0">
      <sharedItems containsSemiMixedTypes="0" containsString="0" containsNumber="1" minValue="1" maxValue="2"/>
    </cacheField>
    <cacheField name="Document Status" numFmtId="0">
      <sharedItems count="4">
        <s v="Approved"/>
        <s v="Pending QC"/>
        <s v="Draft"/>
        <s v="Overdue"/>
      </sharedItems>
    </cacheField>
    <cacheField name="Owner" numFmtId="0">
      <sharedItems/>
    </cacheField>
    <cacheField name="Date Received" numFmtId="14">
      <sharedItems containsSemiMixedTypes="0" containsNonDate="0" containsDate="1" containsString="0" minDate="2026-08-01T00:00:00" maxDate="2026-08-21T00:00:00"/>
    </cacheField>
    <cacheField name="Due Date" numFmtId="14">
      <sharedItems containsSemiMixedTypes="0" containsNonDate="0" containsDate="1" containsString="0" minDate="2026-08-05T00:00:00" maxDate="2026-08-29T00:00:00"/>
    </cacheField>
    <cacheField name="QC Status" numFmtId="0">
      <sharedItems/>
    </cacheField>
    <cacheField name="Notes" numFmtId="0">
      <sharedItems/>
    </cacheField>
    <cacheField name="System Status" numFmtId="0">
      <sharedItems/>
    </cacheField>
    <cacheField name="Days Overdue" numFmtId="0">
      <sharedItems containsSemiMixedTypes="0" containsString="0" containsNumber="1" containsInteger="1" minValue="0" maxValue="54"/>
    </cacheField>
    <cacheField name="Overall Check"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ABC-001"/>
    <s v="EMP001"/>
    <s v="CRS001"/>
    <x v="0"/>
    <x v="0"/>
    <x v="0"/>
    <n v="4"/>
    <x v="0"/>
    <d v="2026-08-01T00:00:00"/>
    <d v="2026-08-08T00:00:00"/>
    <d v="2026-08-06T00:00:00"/>
    <x v="0"/>
    <s v="Yes"/>
    <n v="0"/>
    <m/>
    <m/>
    <m/>
  </r>
  <r>
    <s v="ABC-001"/>
    <s v="EMP002"/>
    <s v="CRS002"/>
    <x v="1"/>
    <x v="1"/>
    <x v="1"/>
    <n v="3"/>
    <x v="0"/>
    <d v="2026-08-02T00:00:00"/>
    <d v="2026-08-09T00:00:00"/>
    <m/>
    <x v="1"/>
    <s v="Yes"/>
    <n v="57"/>
    <m/>
    <m/>
    <m/>
  </r>
  <r>
    <s v="ABC-001"/>
    <s v="EMP003"/>
    <s v="CRS003"/>
    <x v="2"/>
    <x v="2"/>
    <x v="2"/>
    <n v="2"/>
    <x v="0"/>
    <d v="2026-08-03T00:00:00"/>
    <d v="2026-08-10T00:00:00"/>
    <d v="2026-08-10T00:00:00"/>
    <x v="0"/>
    <s v="Yes"/>
    <n v="0"/>
    <m/>
    <m/>
    <m/>
  </r>
  <r>
    <s v="ABC-001"/>
    <s v="EMP004"/>
    <s v="CRS004"/>
    <x v="3"/>
    <x v="3"/>
    <x v="3"/>
    <n v="3"/>
    <x v="0"/>
    <d v="2026-08-04T00:00:00"/>
    <d v="2026-08-11T00:00:00"/>
    <m/>
    <x v="1"/>
    <s v="Yes"/>
    <n v="55"/>
    <m/>
    <m/>
    <m/>
  </r>
  <r>
    <s v="ABC-001"/>
    <s v="EMP001"/>
    <s v="CRS005"/>
    <x v="0"/>
    <x v="0"/>
    <x v="4"/>
    <n v="4"/>
    <x v="0"/>
    <d v="2026-08-05T00:00:00"/>
    <d v="2026-08-12T00:00:00"/>
    <d v="2026-08-13T00:00:00"/>
    <x v="0"/>
    <s v="Yes"/>
    <n v="1"/>
    <m/>
    <m/>
    <m/>
  </r>
  <r>
    <s v="ABC-001"/>
    <s v="EMP003"/>
    <s v="CRS006"/>
    <x v="2"/>
    <x v="2"/>
    <x v="5"/>
    <n v="2"/>
    <x v="1"/>
    <d v="2026-08-06T00:00:00"/>
    <d v="2026-08-20T00:00:00"/>
    <m/>
    <x v="1"/>
    <s v="Yes"/>
    <n v="46"/>
    <m/>
    <m/>
    <m/>
  </r>
  <r>
    <s v="ABC-001"/>
    <s v="EMP002"/>
    <s v="CRS007"/>
    <x v="1"/>
    <x v="1"/>
    <x v="6"/>
    <n v="5"/>
    <x v="0"/>
    <d v="2026-08-07T00:00:00"/>
    <d v="2026-08-14T00:00:00"/>
    <d v="2026-08-14T00:00:00"/>
    <x v="0"/>
    <s v="Yes"/>
    <n v="0"/>
    <m/>
    <m/>
    <m/>
  </r>
  <r>
    <s v="ABC-001"/>
    <s v="EMP004"/>
    <s v="CRS008"/>
    <x v="3"/>
    <x v="3"/>
    <x v="7"/>
    <n v="2"/>
    <x v="0"/>
    <d v="2026-08-08T00:00:00"/>
    <d v="2026-08-15T00:00:00"/>
    <m/>
    <x v="1"/>
    <s v="Yes"/>
    <n v="51"/>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ST-001"/>
    <s v="DOC-001"/>
    <x v="0"/>
    <n v="1"/>
    <s v="Study Plan"/>
    <n v="1"/>
    <x v="0"/>
    <s v="Ana Markovic Smith"/>
    <d v="2026-08-01T00:00:00"/>
    <d v="2026-08-05T00:00:00"/>
    <s v="Passed"/>
    <s v="Final approved version"/>
    <s v="Completed"/>
    <n v="0"/>
    <s v="PASS"/>
  </r>
  <r>
    <s v="ST-001"/>
    <s v="DOC-002"/>
    <x v="0"/>
    <n v="2"/>
    <s v="Protocol"/>
    <n v="2"/>
    <x v="0"/>
    <s v="Marko Petrovic"/>
    <d v="2026-08-03T00:00:00"/>
    <d v="2026-08-07T00:00:00"/>
    <s v="Passed"/>
    <s v="Current protocol version"/>
    <s v="Completed"/>
    <n v="0"/>
    <s v="PASS"/>
  </r>
  <r>
    <s v="ST-001"/>
    <s v="DOC-003"/>
    <x v="1"/>
    <n v="1"/>
    <s v="Regulatory Approval"/>
    <n v="1"/>
    <x v="1"/>
    <s v="Jelena Nikolic"/>
    <d v="2026-08-08T00:00:00"/>
    <d v="2026-08-12T00:00:00"/>
    <s v="In Review"/>
    <s v="QC review pending"/>
    <s v="Overdue"/>
    <n v="54"/>
    <s v="FAIL"/>
  </r>
  <r>
    <s v="ST-001"/>
    <s v="DOC-004"/>
    <x v="2"/>
    <n v="1"/>
    <s v="Safety Management Plan"/>
    <n v="1"/>
    <x v="0"/>
    <s v="Stefan Ilic"/>
    <d v="2026-08-05T00:00:00"/>
    <d v="2026-08-10T00:00:00"/>
    <s v="Passed"/>
    <s v="No issues identified"/>
    <s v="Completed"/>
    <n v="0"/>
    <s v="PASS"/>
  </r>
  <r>
    <s v="ST-002"/>
    <s v="DOC-005"/>
    <x v="0"/>
    <n v="3"/>
    <s v="Monitoring Plan"/>
    <n v="1"/>
    <x v="2"/>
    <s v="Ana Markovic Smith"/>
    <d v="2026-08-15T00:00:00"/>
    <d v="2026-08-22T00:00:00"/>
    <s v="Not Started"/>
    <s v="Awaiting final review"/>
    <s v="Overdue"/>
    <n v="44"/>
    <s v="FAIL"/>
  </r>
  <r>
    <s v="ST-002"/>
    <s v="DOC-006"/>
    <x v="3"/>
    <n v="1"/>
    <s v="Site Initiation Report"/>
    <n v="1"/>
    <x v="0"/>
    <s v="Marko Petrovic"/>
    <d v="2026-08-18T00:00:00"/>
    <d v="2026-08-20T00:00:00"/>
    <s v="Passed"/>
    <s v="Filed after site initiation"/>
    <s v="Completed"/>
    <n v="0"/>
    <s v="PASS"/>
  </r>
  <r>
    <s v="ST-002"/>
    <s v="DOC-007"/>
    <x v="4"/>
    <n v="2"/>
    <s v="Data Management Plan"/>
    <n v="1.1000000000000001"/>
    <x v="1"/>
    <s v="Stefan Ilic"/>
    <d v="2026-08-20T00:00:00"/>
    <d v="2026-08-25T00:00:00"/>
    <s v="Failed"/>
    <s v="Missing QC evidence"/>
    <s v="Overdue"/>
    <n v="41"/>
    <s v="FAIL"/>
  </r>
  <r>
    <s v="ST-002"/>
    <s v="DOC-008"/>
    <x v="1"/>
    <n v="2"/>
    <s v="Ethics Committee Submission"/>
    <n v="1"/>
    <x v="3"/>
    <s v="Jelena Nikolic"/>
    <d v="2026-08-20T00:00:00"/>
    <d v="2026-08-28T00:00:00"/>
    <s v="Not Started"/>
    <s v="Submission package incomplete"/>
    <s v="Overdue"/>
    <n v="38"/>
    <s v="FA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DBADE4-EF59-4299-A974-38A2397813EB}"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17">
    <pivotField showAll="0"/>
    <pivotField showAll="0"/>
    <pivotField showAll="0"/>
    <pivotField axis="axisRow" showAll="0">
      <items count="7">
        <item x="0"/>
        <item x="2"/>
        <item x="1"/>
        <item x="3"/>
        <item m="1" x="5"/>
        <item m="1" x="4"/>
        <item t="default"/>
      </items>
    </pivotField>
    <pivotField showAll="0">
      <items count="8">
        <item x="1"/>
        <item x="2"/>
        <item x="3"/>
        <item m="1" x="4"/>
        <item m="1" x="5"/>
        <item x="0"/>
        <item m="1" x="6"/>
        <item t="default"/>
      </items>
    </pivotField>
    <pivotField dataField="1" showAll="0"/>
    <pivotField showAll="0"/>
    <pivotField showAll="0">
      <items count="4">
        <item x="1"/>
        <item x="0"/>
        <item m="1" x="2"/>
        <item t="default"/>
      </items>
    </pivotField>
    <pivotField showAll="0"/>
    <pivotField showAll="0"/>
    <pivotField showAll="0"/>
    <pivotField axis="axisCol" showAll="0">
      <items count="4">
        <item x="0"/>
        <item x="1"/>
        <item m="1" x="2"/>
        <item t="default"/>
      </items>
    </pivotField>
    <pivotField showAll="0"/>
    <pivotField showAll="0"/>
    <pivotField showAll="0"/>
    <pivotField showAll="0"/>
    <pivotField showAll="0"/>
  </pivotFields>
  <rowFields count="1">
    <field x="3"/>
  </rowFields>
  <rowItems count="5">
    <i>
      <x/>
    </i>
    <i>
      <x v="1"/>
    </i>
    <i>
      <x v="2"/>
    </i>
    <i>
      <x v="3"/>
    </i>
    <i t="grand">
      <x/>
    </i>
  </rowItems>
  <colFields count="1">
    <field x="11"/>
  </colFields>
  <colItems count="3">
    <i>
      <x/>
    </i>
    <i>
      <x v="1"/>
    </i>
    <i t="grand">
      <x/>
    </i>
  </colItems>
  <dataFields count="1">
    <dataField name="Count of Training Name" fld="5" subtotal="count" baseField="0" baseItem="0"/>
  </dataFields>
  <chartFormats count="7">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1" count="1" selected="0">
            <x v="0"/>
          </reference>
        </references>
      </pivotArea>
    </chartFormat>
    <chartFormat chart="3" format="8" series="1">
      <pivotArea type="data" outline="0" fieldPosition="0">
        <references count="2">
          <reference field="4294967294" count="1" selected="0">
            <x v="0"/>
          </reference>
          <reference field="11" count="1" selected="0">
            <x v="1"/>
          </reference>
        </references>
      </pivotArea>
    </chartFormat>
    <chartFormat chart="3" format="9"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8BC4A-98EF-4648-A049-3BFFA3AADB0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9" firstHeaderRow="1" firstDataRow="2" firstDataCol="1"/>
  <pivotFields count="17">
    <pivotField showAll="0"/>
    <pivotField showAll="0"/>
    <pivotField showAll="0"/>
    <pivotField showAll="0"/>
    <pivotField axis="axisRow" showAll="0">
      <items count="8">
        <item x="1"/>
        <item x="2"/>
        <item x="3"/>
        <item x="0"/>
        <item m="1" x="6"/>
        <item m="1" x="4"/>
        <item m="1" x="5"/>
        <item t="default"/>
      </items>
    </pivotField>
    <pivotField dataField="1" showAll="0"/>
    <pivotField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s>
  <rowFields count="1">
    <field x="4"/>
  </rowFields>
  <rowItems count="5">
    <i>
      <x/>
    </i>
    <i>
      <x v="1"/>
    </i>
    <i>
      <x v="2"/>
    </i>
    <i>
      <x v="3"/>
    </i>
    <i t="grand">
      <x/>
    </i>
  </rowItems>
  <colFields count="1">
    <field x="11"/>
  </colFields>
  <colItems count="3">
    <i>
      <x/>
    </i>
    <i>
      <x v="1"/>
    </i>
    <i t="grand">
      <x/>
    </i>
  </colItems>
  <dataFields count="1">
    <dataField name="Count of Training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2665A-8BBA-4671-A9D1-046936A45920}"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3" firstHeaderRow="1" firstDataRow="2" firstDataCol="1"/>
  <pivotFields count="17">
    <pivotField showAll="0"/>
    <pivotField showAll="0"/>
    <pivotField showAll="0"/>
    <pivotField showAll="0"/>
    <pivotField showAll="0"/>
    <pivotField axis="axisRow" dataField="1" showAll="0">
      <items count="10">
        <item x="7"/>
        <item x="3"/>
        <item x="0"/>
        <item x="5"/>
        <item x="6"/>
        <item x="1"/>
        <item x="4"/>
        <item x="2"/>
        <item m="1" x="8"/>
        <item t="default"/>
      </items>
    </pivotField>
    <pivotField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s>
  <rowFields count="1">
    <field x="5"/>
  </rowFields>
  <rowItems count="9">
    <i>
      <x/>
    </i>
    <i>
      <x v="1"/>
    </i>
    <i>
      <x v="2"/>
    </i>
    <i>
      <x v="3"/>
    </i>
    <i>
      <x v="4"/>
    </i>
    <i>
      <x v="5"/>
    </i>
    <i>
      <x v="6"/>
    </i>
    <i>
      <x v="7"/>
    </i>
    <i t="grand">
      <x/>
    </i>
  </rowItems>
  <colFields count="1">
    <field x="11"/>
  </colFields>
  <colItems count="3">
    <i>
      <x/>
    </i>
    <i>
      <x v="1"/>
    </i>
    <i t="grand">
      <x/>
    </i>
  </colItems>
  <dataFields count="1">
    <dataField name="Count of Training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3DAD3D-9E3A-4CF3-AA89-1F8603E3493D}"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17">
    <pivotField showAll="0"/>
    <pivotField showAll="0"/>
    <pivotField showAll="0"/>
    <pivotField axis="axisRow" showAll="0">
      <items count="7">
        <item x="0"/>
        <item x="2"/>
        <item x="1"/>
        <item x="3"/>
        <item m="1" x="5"/>
        <item m="1" x="4"/>
        <item t="default"/>
      </items>
    </pivotField>
    <pivotField showAll="0"/>
    <pivotField showAll="0"/>
    <pivotField dataField="1" showAll="0"/>
    <pivotField showAll="0"/>
    <pivotField showAll="0"/>
    <pivotField showAll="0"/>
    <pivotField showAll="0"/>
    <pivotField axis="axisCol" showAll="0">
      <items count="4">
        <item x="0"/>
        <item x="1"/>
        <item m="1" x="2"/>
        <item t="default"/>
      </items>
    </pivotField>
    <pivotField showAll="0"/>
    <pivotField showAll="0"/>
    <pivotField showAll="0"/>
    <pivotField showAll="0"/>
    <pivotField showAll="0"/>
  </pivotFields>
  <rowFields count="1">
    <field x="3"/>
  </rowFields>
  <rowItems count="5">
    <i>
      <x/>
    </i>
    <i>
      <x v="1"/>
    </i>
    <i>
      <x v="2"/>
    </i>
    <i>
      <x v="3"/>
    </i>
    <i t="grand">
      <x/>
    </i>
  </rowItems>
  <colFields count="1">
    <field x="11"/>
  </colFields>
  <colItems count="3">
    <i>
      <x/>
    </i>
    <i>
      <x v="1"/>
    </i>
    <i t="grand">
      <x/>
    </i>
  </colItems>
  <dataFields count="1">
    <dataField name="Sum of Training Hours" fld="6" baseField="0" baseItem="0"/>
  </dataField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C2B759-B973-4D15-9867-E4BAFD60F859}" name="PivotTable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9" firstHeaderRow="1" firstDataRow="2" firstDataCol="1"/>
  <pivotFields count="15">
    <pivotField showAll="0"/>
    <pivotField dataField="1" showAll="0"/>
    <pivotField axis="axisCol" showAll="0">
      <items count="6">
        <item x="4"/>
        <item x="1"/>
        <item x="2"/>
        <item x="3"/>
        <item x="0"/>
        <item t="default"/>
      </items>
    </pivotField>
    <pivotField showAll="0"/>
    <pivotField showAll="0"/>
    <pivotField showAll="0"/>
    <pivotField axis="axisRow" showAll="0">
      <items count="5">
        <item x="0"/>
        <item x="2"/>
        <item x="3"/>
        <item x="1"/>
        <item t="default"/>
      </items>
    </pivotField>
    <pivotField showAll="0"/>
    <pivotField numFmtId="14" showAll="0"/>
    <pivotField numFmtId="14" showAll="0"/>
    <pivotField showAll="0"/>
    <pivotField showAll="0"/>
    <pivotField showAll="0"/>
    <pivotField showAll="0"/>
    <pivotField showAll="0"/>
  </pivotFields>
  <rowFields count="1">
    <field x="6"/>
  </rowFields>
  <rowItems count="5">
    <i>
      <x/>
    </i>
    <i>
      <x v="1"/>
    </i>
    <i>
      <x v="2"/>
    </i>
    <i>
      <x v="3"/>
    </i>
    <i t="grand">
      <x/>
    </i>
  </rowItems>
  <colFields count="1">
    <field x="2"/>
  </colFields>
  <colItems count="6">
    <i>
      <x/>
    </i>
    <i>
      <x v="1"/>
    </i>
    <i>
      <x v="2"/>
    </i>
    <i>
      <x v="3"/>
    </i>
    <i>
      <x v="4"/>
    </i>
    <i t="grand">
      <x/>
    </i>
  </colItems>
  <dataFields count="1">
    <dataField name="Count of Document ID" fld="1" subtotal="count" baseField="0" baseItem="0"/>
  </dataFields>
  <chartFormats count="5">
    <chartFormat chart="6" format="20" series="1">
      <pivotArea type="data" outline="0" fieldPosition="0">
        <references count="2">
          <reference field="4294967294" count="1" selected="0">
            <x v="0"/>
          </reference>
          <reference field="2" count="1" selected="0">
            <x v="0"/>
          </reference>
        </references>
      </pivotArea>
    </chartFormat>
    <chartFormat chart="6" format="21" series="1">
      <pivotArea type="data" outline="0" fieldPosition="0">
        <references count="2">
          <reference field="4294967294" count="1" selected="0">
            <x v="0"/>
          </reference>
          <reference field="2" count="1" selected="0">
            <x v="1"/>
          </reference>
        </references>
      </pivotArea>
    </chartFormat>
    <chartFormat chart="6" format="22" series="1">
      <pivotArea type="data" outline="0" fieldPosition="0">
        <references count="2">
          <reference field="4294967294" count="1" selected="0">
            <x v="0"/>
          </reference>
          <reference field="2" count="1" selected="0">
            <x v="2"/>
          </reference>
        </references>
      </pivotArea>
    </chartFormat>
    <chartFormat chart="6" format="23" series="1">
      <pivotArea type="data" outline="0" fieldPosition="0">
        <references count="2">
          <reference field="4294967294" count="1" selected="0">
            <x v="0"/>
          </reference>
          <reference field="2" count="1" selected="0">
            <x v="3"/>
          </reference>
        </references>
      </pivotArea>
    </chartFormat>
    <chartFormat chart="6" format="2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8BCCDC63-1703-4D65-9E37-DCE011ACC095}" autoFormatId="16" applyNumberFormats="0" applyBorderFormats="0" applyFontFormats="0" applyPatternFormats="0" applyAlignmentFormats="0" applyWidthHeightFormats="0">
  <queryTableRefresh nextId="70">
    <queryTableFields count="26">
      <queryTableField id="1" name="Study ID" tableColumnId="18"/>
      <queryTableField id="2" name="Employee ID" tableColumnId="2"/>
      <queryTableField id="3" name="CourseID" tableColumnId="3"/>
      <queryTableField id="7" name="Training Hours" tableColumnId="7"/>
      <queryTableField id="8" name="Required / Optional" tableColumnId="8"/>
      <queryTableField id="9" name="Assigned Date" tableColumnId="9"/>
      <queryTableField id="10" name="Due Date" tableColumnId="10"/>
      <queryTableField id="11" name="Completed Date" tableColumnId="11"/>
      <queryTableField id="12" name="Status" tableColumnId="12"/>
      <queryTableField id="13" name="Started?" tableColumnId="13"/>
      <queryTableField id="14" name="Days Overdue" tableColumnId="14"/>
      <queryTableField id="15" name="Hourly Rate" tableColumnId="15"/>
      <queryTableField id="16" name="Non Compliance Cost" tableColumnId="16"/>
      <queryTableField id="17" name="Notes" tableColumnId="17"/>
      <queryTableField id="56" name="Person Name" tableColumnId="30"/>
      <queryTableField id="57" name="Role" tableColumnId="31"/>
      <queryTableField id="58" name="Department" tableColumnId="32"/>
      <queryTableField id="6" name="Training Name" tableColumnId="6"/>
      <queryTableField id="62" name="Category" tableColumnId="33"/>
      <queryTableField id="63" name="Required?" tableColumnId="34"/>
      <queryTableField id="64" name="Validity Months" tableColumnId="35"/>
      <queryTableField id="65" name="Employee ID Check" tableColumnId="36"/>
      <queryTableField id="66" name="Course ID Check" tableColumnId="37"/>
      <queryTableField id="67" name="Completion Date Check" tableColumnId="38"/>
      <queryTableField id="68" name="Overall Check" tableColumnId="39"/>
      <queryTableField id="69" name="Overdue?"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68D7EE6-D3C0-48BD-B29A-A50C36F9BDDD}" autoFormatId="16" applyNumberFormats="0" applyBorderFormats="0" applyFontFormats="0" applyPatternFormats="0" applyAlignmentFormats="0" applyWidthHeightFormats="0">
  <queryTableRefresh nextId="5">
    <queryTableFields count="4">
      <queryTableField id="1" name="Employee ID" tableColumnId="5"/>
      <queryTableField id="2" name="Person Name" tableColumnId="2"/>
      <queryTableField id="3" name="Role" tableColumnId="3"/>
      <queryTableField id="4" name="Departmen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58CAFCC-9F35-4072-ACD2-36CDE2F0F376}" autoFormatId="16" applyNumberFormats="0" applyBorderFormats="0" applyFontFormats="0" applyPatternFormats="0" applyAlignmentFormats="0" applyWidthHeightFormats="0">
  <queryTableRefresh nextId="6">
    <queryTableFields count="5">
      <queryTableField id="1" name="Course ID" tableColumnId="6"/>
      <queryTableField id="2" name="Training Name" tableColumnId="2"/>
      <queryTableField id="3" name="Category" tableColumnId="3"/>
      <queryTableField id="4" name="Required?" tableColumnId="4"/>
      <queryTableField id="5" name="Validity Month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9CC069C5-2198-492C-8650-A2F148B6B6B4}" autoFormatId="16" applyNumberFormats="0" applyBorderFormats="0" applyFontFormats="0" applyPatternFormats="0" applyAlignmentFormats="0" applyWidthHeightFormats="0">
  <queryTableRefresh nextId="20">
    <queryTableFields count="18">
      <queryTableField id="1" name="Study ID" tableColumnId="20"/>
      <queryTableField id="2" name="Document ID" tableColumnId="2"/>
      <queryTableField id="3" name="TMF Zone" tableColumnId="3"/>
      <queryTableField id="4" name="Artifact" tableColumnId="4"/>
      <queryTableField id="5" name="Document Name" tableColumnId="5"/>
      <queryTableField id="6" name="Version" tableColumnId="6"/>
      <queryTableField id="7" name="Document Status" tableColumnId="7"/>
      <queryTableField id="8" name="Owner" tableColumnId="8"/>
      <queryTableField id="9" name="Date Received" tableColumnId="9"/>
      <queryTableField id="10" name="Due Date" tableColumnId="10"/>
      <queryTableField id="11" name="QC Status" tableColumnId="11"/>
      <queryTableField id="12" name="Notes" tableColumnId="12"/>
      <queryTableField id="13" name="System Status" tableColumnId="13"/>
      <queryTableField id="14" name="Days Overdue" tableColumnId="14"/>
      <queryTableField id="15" name="Overall Check" tableColumnId="15"/>
      <queryTableField id="16" name="Document ID Check" tableColumnId="16"/>
      <queryTableField id="17" name="Due Date Check" tableColumnId="17"/>
      <queryTableField id="18" name="QC Check" tableColumnId="18"/>
    </queryTableFields>
    <queryTableDeletedFields count="1">
      <deletedField name="Overall Check.1"/>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043072D5-4D92-4CE4-9990-2AB99A90BC4D}" autoFormatId="16" applyNumberFormats="0" applyBorderFormats="0" applyFontFormats="0" applyPatternFormats="0" applyAlignmentFormats="0" applyWidthHeightFormats="0">
  <queryTableRefresh nextId="17">
    <queryTableFields count="16">
      <queryTableField id="1" name="Issue ID" tableColumnId="17"/>
      <queryTableField id="2" name="Study ID" tableColumnId="2"/>
      <queryTableField id="3" name="Issue Date" tableColumnId="3"/>
      <queryTableField id="4" name="Issue Category" tableColumnId="4"/>
      <queryTableField id="5" name="Description" tableColumnId="5"/>
      <queryTableField id="6" name="Priority" tableColumnId="6"/>
      <queryTableField id="7" name="Owner" tableColumnId="7"/>
      <queryTableField id="8" name="Status" tableColumnId="8"/>
      <queryTableField id="9" name="Due Date" tableColumnId="9"/>
      <queryTableField id="10" name="Resolution Date" tableColumnId="10"/>
      <queryTableField id="11" name="Days Open" tableColumnId="11"/>
      <queryTableField id="12" name="Notes" tableColumnId="12"/>
      <queryTableField id="13" name="Overdue?" tableColumnId="13"/>
      <queryTableField id="14" name="Issue ID Check" tableColumnId="14"/>
      <queryTableField id="15" name="Due Date Check" tableColumnId="15"/>
      <queryTableField id="16" name="Overall Check PQ"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B05221FB-BF0C-44B9-AFF3-D2B82A40E83F}" autoFormatId="16" applyNumberFormats="0" applyBorderFormats="0" applyFontFormats="0" applyPatternFormats="0" applyAlignmentFormats="0" applyWidthHeightFormats="0">
  <queryTableRefresh nextId="17">
    <queryTableFields count="16">
      <queryTableField id="1" name="Study ID" tableColumnId="17"/>
      <queryTableField id="2" name="Deliverable ID" tableColumnId="2"/>
      <queryTableField id="3" name="Deliverable Type" tableColumnId="3"/>
      <queryTableField id="4" name="Deliverable Name" tableColumnId="4"/>
      <queryTableField id="5" name="Owner" tableColumnId="5"/>
      <queryTableField id="6" name="Planned Date" tableColumnId="6"/>
      <queryTableField id="7" name="Due Date" tableColumnId="7"/>
      <queryTableField id="8" name="Completion Date" tableColumnId="8"/>
      <queryTableField id="9" name="Status" tableColumnId="9"/>
      <queryTableField id="10" name="Priority" tableColumnId="10"/>
      <queryTableField id="11" name="Days Overdue" tableColumnId="11"/>
      <queryTableField id="12" name="Overall Check" tableColumnId="12"/>
      <queryTableField id="13" name="Notes" tableColumnId="13"/>
      <queryTableField id="14" name="Deliverable ID Check" tableColumnId="14"/>
      <queryTableField id="15" name="Due Date Check" tableColumnId="15"/>
      <queryTableField id="16" name="Overall Check PQ"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B48070CC-CFE6-4EEF-9240-BAD9105CCF49}" sourceName="Role">
  <pivotTables>
    <pivotTable tabId="9" name="PivotTable1"/>
  </pivotTables>
  <data>
    <tabular pivotCacheId="1518899191">
      <items count="7">
        <i x="1" s="1"/>
        <i x="2" s="1"/>
        <i x="3" s="1"/>
        <i x="0" s="1"/>
        <i x="4" s="1" nd="1"/>
        <i x="5"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ired___Optional" xr10:uid="{5C20F25D-D94F-415F-A8E2-D14A2E9C37FD}" sourceName="Required / Optional">
  <pivotTables>
    <pivotTable tabId="9" name="PivotTable1"/>
  </pivotTables>
  <data>
    <tabular pivotCacheId="1518899191">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1D4C05C-99D5-488D-BD0F-A00287BEA6BE}" sourceName="Status">
  <pivotTables>
    <pivotTable tabId="9" name="PivotTable1"/>
  </pivotTables>
  <data>
    <tabular pivotCacheId="151889919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2ACFC047-8E2B-4DDC-B4EB-336FB6DFE925}" cache="Slicer_Role" caption="Role" rowHeight="234950"/>
  <slicer name="Required / Optional" xr10:uid="{EDEFC66C-290D-4451-BDF5-048F13D5B64A}" cache="Slicer_Required___Optional" caption="Required / Optional" rowHeight="234950"/>
  <slicer name="Status" xr10:uid="{79C9A4CB-8A80-4883-A90C-EF32F7D0D163}" cache="Slicer_Status" caption="Status" rowHeight="234950"/>
</slicers>
</file>

<file path=xl/tables/_rels/table1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9F017-6985-47D3-A070-DA9F936483A8}" name="Employees" displayName="Employees" ref="A1:D5" totalsRowShown="0" headerRowDxfId="157" dataDxfId="156">
  <autoFilter ref="A1:D5" xr:uid="{1C69F017-6985-47D3-A070-DA9F936483A8}"/>
  <tableColumns count="4">
    <tableColumn id="1" xr3:uid="{0C8E5B5B-30DB-4620-95BD-E6E5A09D6D28}" name="Employee ID" dataDxfId="155"/>
    <tableColumn id="2" xr3:uid="{2343D4B3-D944-4AF9-ACB4-C0443BCCE78B}" name="Person Name" dataDxfId="154"/>
    <tableColumn id="3" xr3:uid="{2C0C351E-5EBE-477B-9188-1264A8830AB7}" name="Role" dataDxfId="153"/>
    <tableColumn id="4" xr3:uid="{3BFA1D42-23BF-49BF-A85E-405A0B0002D5}" name="Department" dataDxfId="1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D7E790-40AA-432D-B534-E077912CBFCC}" name="Courses" displayName="Courses" ref="A1:E9" totalsRowShown="0" headerRowDxfId="151" dataDxfId="150">
  <autoFilter ref="A1:E9" xr:uid="{BBD7E790-40AA-432D-B534-E077912CBFCC}"/>
  <tableColumns count="5">
    <tableColumn id="1" xr3:uid="{1A007BE7-7588-4912-87CB-7B3795929665}" name="Course ID" dataDxfId="149"/>
    <tableColumn id="2" xr3:uid="{D48F32EE-53C5-4544-9F46-864F392E0F2B}" name="Training Name" dataDxfId="148"/>
    <tableColumn id="3" xr3:uid="{DEA1757B-ED33-47A3-9FC8-4338EE920E15}" name="Category" dataDxfId="147"/>
    <tableColumn id="4" xr3:uid="{E09B2037-63C1-404F-956E-0B209FCC18AF}" name="Required?" dataDxfId="146"/>
    <tableColumn id="5" xr3:uid="{AE2A03DC-D297-448E-A9F3-07E12CB8A793}" name="Validity Months" dataDxfId="14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11928-FDC5-42A3-A07B-8579AC0A771F}" name="Training_Tracker" displayName="Training_Tracker" ref="A1:Q9" totalsRowShown="0">
  <autoFilter ref="A1:Q9" xr:uid="{44211928-FDC5-42A3-A07B-8579AC0A771F}"/>
  <tableColumns count="17">
    <tableColumn id="1" xr3:uid="{8F31428D-42E0-4286-8E14-93EF51443B73}" name="Study ID"/>
    <tableColumn id="15" xr3:uid="{92E2FD16-453A-4543-8CA5-553FC108BAB3}" name="Employee ID" dataDxfId="144"/>
    <tableColumn id="12" xr3:uid="{B8AF7018-6F27-43AB-A5C1-AEC6E7A13DAB}" name="CourseID" dataDxfId="143"/>
    <tableColumn id="2" xr3:uid="{CD62B042-7449-48FB-BA30-61C86968F7E9}" name="Person Name" dataDxfId="142">
      <calculatedColumnFormula>IFERROR(INDEX(Employees[Person Name], MATCH(B2, Employees[Employee ID],0)), "Employee not found")</calculatedColumnFormula>
    </tableColumn>
    <tableColumn id="3" xr3:uid="{BF60E66C-D782-46C5-BBB6-CBFE5F020505}" name="Role"/>
    <tableColumn id="4" xr3:uid="{3C2B26CD-8694-4649-BEB7-B4BC63AAC2BA}" name="Training Name"/>
    <tableColumn id="16" xr3:uid="{01782CCC-3C84-4557-8758-7984E589B5CB}" name="Training Hours"/>
    <tableColumn id="5" xr3:uid="{6FE1FD3C-DF2D-47BF-8296-A6D70C02022C}" name="Required / Optional"/>
    <tableColumn id="6" xr3:uid="{31D0FD14-718C-4786-8C13-A68FDAC39BFC}" name="Assigned Date"/>
    <tableColumn id="7" xr3:uid="{B4CAD9C4-2660-49EF-9FF2-ADC5DF9C17B3}" name="Due Date"/>
    <tableColumn id="8" xr3:uid="{7DF437C5-051F-4026-B64C-EE7D23FDF01D}" name="Completed Date"/>
    <tableColumn id="9" xr3:uid="{85D3AFF3-6882-47C7-9024-F1DC506E8E89}" name="Status"/>
    <tableColumn id="14" xr3:uid="{D1A2B6DC-B2D0-4F21-BE8C-C029CADE7FD8}" name="Started?"/>
    <tableColumn id="10" xr3:uid="{FEE2075E-6EB5-428D-B76B-9C57F16807CB}" name="Days Overdue" dataDxfId="141">
      <calculatedColumnFormula>IF(Training_Tracker[[#This Row],[Status]]="Completed",MAX(0,Training_Tracker[[#This Row],[Completed Date]]-Training_Tracker[[#This Row],[Due Date]]),MAX(0,TODAY()-Training_Tracker[[#This Row],[Due Date]]))</calculatedColumnFormula>
    </tableColumn>
    <tableColumn id="13" xr3:uid="{D5C46AD5-4F84-4D08-9AA6-B75F59F389AE}" name="Hourly Rate" dataDxfId="140"/>
    <tableColumn id="17" xr3:uid="{5A9C3E95-79EF-4FDB-9369-4858851B2D73}" name="Non Compliance Cost" dataDxfId="139"/>
    <tableColumn id="11" xr3:uid="{98B2A0DD-0681-4DBC-AE96-910ACF574B27}"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87F410-D3DF-4DD1-9B62-6169DF8C9B6B}" name="TFM_Documents" displayName="TFM_Documents" ref="A1:O9" totalsRowShown="0" headerRowDxfId="138" dataDxfId="137">
  <autoFilter ref="A1:O9" xr:uid="{6487F410-D3DF-4DD1-9B62-6169DF8C9B6B}"/>
  <tableColumns count="15">
    <tableColumn id="1" xr3:uid="{843C92E9-7E8D-49DD-B53F-7B9A341A7E90}" name="Study ID" dataDxfId="136"/>
    <tableColumn id="2" xr3:uid="{15E36731-9855-4E93-AE17-FECAD3BAADC9}" name="Document ID" dataDxfId="135"/>
    <tableColumn id="3" xr3:uid="{6CEE58DE-4637-4F07-83FC-FB99F8102B77}" name="TMF Zone" dataDxfId="134"/>
    <tableColumn id="4" xr3:uid="{FB550BCA-32FF-49D3-A7FF-1FEADD8960E6}" name="Artifact" dataDxfId="133"/>
    <tableColumn id="5" xr3:uid="{98ACF9AB-D1DF-4856-9D30-C9C1F611C373}" name="Document Name" dataDxfId="132"/>
    <tableColumn id="6" xr3:uid="{BDCB6C44-035F-4100-A9B2-8F6F7361F944}" name="Version" dataDxfId="131"/>
    <tableColumn id="7" xr3:uid="{22F45307-3B58-4D34-BFCD-C324310A316D}" name="Document Status" dataDxfId="130"/>
    <tableColumn id="8" xr3:uid="{91F0C9C6-D9C5-446E-80F4-12074D747501}" name="Owner" dataDxfId="129"/>
    <tableColumn id="9" xr3:uid="{7675E220-201A-4CD0-BE8D-4CBDA7263FEA}" name="Date Received" dataDxfId="128"/>
    <tableColumn id="10" xr3:uid="{97BD93C2-889C-4B9F-B11C-A877FE1966AC}" name="Due Date" dataDxfId="127"/>
    <tableColumn id="11" xr3:uid="{A9A2837A-5A32-474D-92BC-5F48F7A94EE4}" name="QC Status" dataDxfId="126"/>
    <tableColumn id="12" xr3:uid="{F4F1B5D1-E7B3-4403-8168-5A6881A3B95B}" name="Notes" dataDxfId="125"/>
    <tableColumn id="14" xr3:uid="{618B9F4D-9AB7-4516-A51A-6DBEA9D7E013}" name="System Status" dataDxfId="124">
      <calculatedColumnFormula>IF(G2="Approved","Completed",IF(J2&lt;TODAY(),"Overdue", IF(G2="Pending QC","In Progress","Not Started")))</calculatedColumnFormula>
    </tableColumn>
    <tableColumn id="15" xr3:uid="{7F8FCE22-CC7C-4AE3-9610-A42AD1B8D267}" name="Days Overdue" dataDxfId="123">
      <calculatedColumnFormula>IF(M2="Overdue",MAX(0,TODAY()-J2),0)</calculatedColumnFormula>
    </tableColumn>
    <tableColumn id="16" xr3:uid="{6813DB43-259F-4932-9F18-C71B42063332}" name="Overall Check" dataDxfId="122">
      <calculatedColumnFormula>IF(OR(K2="Failed",M2="Overdue"),"FAIL","PASS")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5903A07-C707-4D0E-BF74-864728A930DB}" name="Issue_Log" displayName="Issue_Log" ref="A1:M9" totalsRowShown="0">
  <autoFilter ref="A1:M9" xr:uid="{45903A07-C707-4D0E-BF74-864728A930DB}"/>
  <tableColumns count="13">
    <tableColumn id="1" xr3:uid="{B1522AE2-019E-4934-B748-F52C1CA61E24}" name="Issue ID"/>
    <tableColumn id="2" xr3:uid="{44309526-C3E1-44CC-AEDC-FBA79B4032F6}" name="Study ID"/>
    <tableColumn id="3" xr3:uid="{769207CC-EAC1-4E44-9AB4-3E6AAFA8302F}" name="Issue Date"/>
    <tableColumn id="4" xr3:uid="{BA5CEF0F-F6B2-4869-917C-79AEF85711FA}" name="Issue Category"/>
    <tableColumn id="5" xr3:uid="{CC89DC65-1870-44A2-9D42-ACB1AED2FADB}" name="Description"/>
    <tableColumn id="6" xr3:uid="{720F48BC-FBC5-482D-95E4-AC036A288D62}" name="Priority"/>
    <tableColumn id="7" xr3:uid="{EE6A9DFF-807D-4127-B1F4-908DE6204E9C}" name="Owner"/>
    <tableColumn id="8" xr3:uid="{262C3476-39C8-4D78-9365-6EFFEFD12DBF}" name="Status"/>
    <tableColumn id="9" xr3:uid="{605A523B-577F-4926-B38A-7B875F77466A}" name="Due Date"/>
    <tableColumn id="10" xr3:uid="{991E1FE6-7AEB-41EF-BC22-AC219E63E377}" name="Resolution Date"/>
    <tableColumn id="11" xr3:uid="{AF400C55-F876-4C33-9D1F-3AD77B79837C}" name="Days Open">
      <calculatedColumnFormula>IF(H2="Resolved",IFERROR(J2-C2,DATEVALUE(J2)-DATEVALUE(C2)),IFERROR(TODAY()-C2,TODAY()-DATEVALUE(C2)))</calculatedColumnFormula>
    </tableColumn>
    <tableColumn id="12" xr3:uid="{7AAC5CB5-A87B-40B4-9E70-9F7D82299099}" name="Notes"/>
    <tableColumn id="13" xr3:uid="{20EFB524-502A-48D1-B68D-B4282D894CBD}" name="Overdue?">
      <calculatedColumnFormula>IF(AND(H2&lt;&gt;"Resolved",I2&lt;TODAY()),"Overdue","On Track")</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3428DB9-2CA0-4F83-BBFB-1A4D8F50DEDF}" name="Deliverables" displayName="Deliverables" ref="A1:M9" totalsRowShown="0">
  <autoFilter ref="A1:M9" xr:uid="{03428DB9-2CA0-4F83-BBFB-1A4D8F50DEDF}"/>
  <tableColumns count="13">
    <tableColumn id="1" xr3:uid="{E3372691-50D7-48DD-B614-D8003C7B6504}" name="Study ID"/>
    <tableColumn id="2" xr3:uid="{0ABDA92D-9A8C-4428-813E-65F7CE2915E0}" name="Deliverable ID"/>
    <tableColumn id="3" xr3:uid="{F59E2AD0-CB47-4AD0-92E2-623CDDAC5A69}" name="Deliverable Type"/>
    <tableColumn id="4" xr3:uid="{C34A308B-3169-4D10-8718-AC6270D2574D}" name="Deliverable Name"/>
    <tableColumn id="5" xr3:uid="{E2DF5A89-4848-4F89-891B-2B6FA732AD25}" name="Owner"/>
    <tableColumn id="6" xr3:uid="{288FFA75-E55A-4A23-A8EB-E48E39C906CE}" name="Planned Date"/>
    <tableColumn id="7" xr3:uid="{0C7923AE-CDCC-4967-9A2A-5B0044D03FA3}" name="Due Date"/>
    <tableColumn id="8" xr3:uid="{1643D46A-4C35-4D41-BC26-3DB4458ED29D}" name="Completion Date"/>
    <tableColumn id="9" xr3:uid="{BB7A1FE5-0991-4C9E-8864-5A83E66D97C6}" name="Status"/>
    <tableColumn id="10" xr3:uid="{2D9E6658-74F3-4F1D-B9C5-5F4DC580A062}" name="Priority"/>
    <tableColumn id="11" xr3:uid="{6E876000-A0BF-4A25-83DB-B118FF33B599}" name="Days Overdue">
      <calculatedColumnFormula>IF(I2="Completed", MAX(0,H2-G2),MAX(0,TODAY()-G2))</calculatedColumnFormula>
    </tableColumn>
    <tableColumn id="13" xr3:uid="{97303780-D62A-45AC-9ADD-0ECC69F57D41}" name="Overall Check">
      <calculatedColumnFormula>IF(OR(I2="Overdue",AND(I2="Completed",H2="")),"FAIL","PASS")</calculatedColumnFormula>
    </tableColumn>
    <tableColumn id="12" xr3:uid="{FE354434-38ED-492F-B14F-EA1B53DBAF58}"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DA186F-9ED8-41D5-AFA7-9A487313C48D}" name="DQ_Summary" displayName="DQ_Summary" ref="A1:B8" totalsRowShown="0" headerRowDxfId="121" dataDxfId="120">
  <autoFilter ref="A1:B8" xr:uid="{33DA186F-9ED8-41D5-AFA7-9A487313C48D}"/>
  <tableColumns count="2">
    <tableColumn id="1" xr3:uid="{D85735A2-9764-48A9-A7BD-48839E5C4240}" name="Check" dataDxfId="119"/>
    <tableColumn id="2" xr3:uid="{CAB2EC8C-BC17-4ABA-9AF6-906283D1DA03}" name="Result" dataDxfId="118">
      <calculatedColumnFormula>COUNTIF(E11:E18,"Invalid Course ID")</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3B045B-1B17-49E7-803E-9246411132BA}" name="DQ_Detail" displayName="DQ_Detail" ref="A11:I19" totalsRowShown="0">
  <autoFilter ref="A11:I19" xr:uid="{7A3B045B-1B17-49E7-803E-9246411132BA}"/>
  <tableColumns count="9">
    <tableColumn id="1" xr3:uid="{B9189993-BA4A-43CC-B85B-5A582C82C42C}" name="Row" dataDxfId="117"/>
    <tableColumn id="2" xr3:uid="{8C98A32E-5478-4B7E-9CBF-0B1B291DACE9}" name="Employee ID" dataDxfId="116">
      <calculatedColumnFormula>'Training Tracker'!B2</calculatedColumnFormula>
    </tableColumn>
    <tableColumn id="3" xr3:uid="{292EADB0-0251-4D97-B274-841AFBDED502}" name="Employee Check" dataDxfId="115">
      <calculatedColumnFormula>IF(COUNTIF(Employees!$A:$A, TRIM(B12))&gt;0,"Valid","Invalid Employee ID")</calculatedColumnFormula>
    </tableColumn>
    <tableColumn id="4" xr3:uid="{01D05190-71D5-4FC3-860D-CF10CC4DA02A}" name="Course ID" dataDxfId="114">
      <calculatedColumnFormula>'Training Tracker'!C2</calculatedColumnFormula>
    </tableColumn>
    <tableColumn id="5" xr3:uid="{18575144-6837-4BD4-97BB-BDE97611A991}" name="Course Check" dataDxfId="113">
      <calculatedColumnFormula>IF(COUNTIF('Courses'!$A:$A, TRIM(D12))&gt;0, "Valid","Invalid Course ID")</calculatedColumnFormula>
    </tableColumn>
    <tableColumn id="6" xr3:uid="{82D9549A-DC81-496B-934F-4F241048B1AA}" name="Due Date Check" dataDxfId="112">
      <calculatedColumnFormula>IF('Training Tracker'!J2="","Missing Due Date", "Valid")</calculatedColumnFormula>
    </tableColumn>
    <tableColumn id="7" xr3:uid="{1A6B8562-5C59-449E-A5D3-FF076A473D23}" name="Date Sequence Check" dataDxfId="111">
      <calculatedColumnFormula>IF(OR('Training Tracker'!I2="",'Training Tracker'!J2=""),"Check Missing Date",IF('Training Tracker'!J2&lt;'Training Tracker'!I2,"Invalid Date Sequence","Valid"))</calculatedColumnFormula>
    </tableColumn>
    <tableColumn id="8" xr3:uid="{63A46741-14CA-4A0A-ACDA-7BAA3E97F42F}" name="Completion Check" dataDxfId="110">
      <calculatedColumnFormula>IF('Training Tracker'!L2="Completed", IF('Training Tracker'!K2="","Completed Without Date","Valid"),"N/A")</calculatedColumnFormula>
    </tableColumn>
    <tableColumn id="9" xr3:uid="{5893028A-39AC-4750-A5C4-77C4105BFC1D}" name="Overall Check" dataDxfId="109">
      <calculatedColumnFormula>IF(AND(C12="Valid",E12="Valid",F12="Valid", OR(G12="Valid", G12="Check Missing Date"), OR(H12="Valid",H12="N/A")),"PASS","FAIL")</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4CE276-6B98-4A4A-9FA0-F1103F87D3EE}" name="TMF_DQ" displayName="TMF_DQ" ref="A1:B7" totalsRowShown="0" headerRowDxfId="108" dataDxfId="107">
  <autoFilter ref="A1:B7" xr:uid="{B84CE276-6B98-4A4A-9FA0-F1103F87D3EE}"/>
  <tableColumns count="2">
    <tableColumn id="1" xr3:uid="{3232B9EC-E690-46C1-A1B1-2C560DE37917}" name="Check" dataDxfId="106"/>
    <tableColumn id="2" xr3:uid="{EBD324FF-F8F3-44B4-84CE-4F6B4BB615E1}" name="Result" dataDxfId="10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2B0D8C-6560-435D-BF6A-5C193A676BC6}" name="Training_KPIs" displayName="Training_KPIs" ref="A1:B9" totalsRowShown="0" headerRowDxfId="104" dataDxfId="103">
  <autoFilter ref="A1:B9" xr:uid="{902B0D8C-6560-435D-BF6A-5C193A676BC6}"/>
  <tableColumns count="2">
    <tableColumn id="1" xr3:uid="{E1DA1384-CB9E-4A0A-9248-34BBB55E514E}" name="KPI" dataDxfId="102"/>
    <tableColumn id="2" xr3:uid="{A75384CD-024D-420C-AF1F-6EBDF922170A}" name="Value" dataDxfId="10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D7203BC-4FC4-41D8-ABEF-E08C8B9B0918}" name="TMF_KPIs" displayName="TMF_KPIs" ref="A1:B9" totalsRowShown="0">
  <autoFilter ref="A1:B9" xr:uid="{BD7203BC-4FC4-41D8-ABEF-E08C8B9B0918}"/>
  <tableColumns count="2">
    <tableColumn id="1" xr3:uid="{32E2B3DF-E1E2-4420-BD97-146365131696}" name="KPI" dataDxfId="100"/>
    <tableColumn id="2" xr3:uid="{928B2EFA-5ED7-44E0-B8BA-1BFAEC2019BF}" name="Result" dataDxfId="99">
      <calculatedColumnFormula>COUNTA('TMF Document Tracker'!B2:B9)</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C131B9-50FC-43EE-BF67-769F552E7C44}" name="Issue_KPIs" displayName="Issue_KPIs" ref="A1:B8" totalsRowShown="0">
  <autoFilter ref="A1:B8" xr:uid="{3EC131B9-50FC-43EE-BF67-769F552E7C44}"/>
  <tableColumns count="2">
    <tableColumn id="1" xr3:uid="{1AEDBE39-3939-457C-A009-E8D9B7E36378}" name="KPI" dataDxfId="98"/>
    <tableColumn id="2" xr3:uid="{737042AC-3189-45A8-8DD7-94CE89323EFC}" name="Result" dataDxfId="9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2B8CF8E-12D6-4F2B-8266-08D87143F4FE}" name="Deliverable_KPIs" displayName="Deliverable_KPIs" ref="A1:B9" totalsRowShown="0">
  <autoFilter ref="A1:B9" xr:uid="{92B8CF8E-12D6-4F2B-8266-08D87143F4FE}"/>
  <tableColumns count="2">
    <tableColumn id="1" xr3:uid="{752A5C8D-AF66-41CA-B72B-5CF2F8E084B3}" name="KPI" dataDxfId="96"/>
    <tableColumn id="2" xr3:uid="{B8DD137F-CF63-4EA5-91C8-71A738FE35C6}" name="Result" dataDxfId="9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3D9E02-E4D6-4D2E-AEF9-23D2F91A4DF8}" name="Training_Dashboard" displayName="Training_Dashboard" ref="A2:F3" totalsRowShown="0">
  <autoFilter ref="A2:F3" xr:uid="{203D9E02-E4D6-4D2E-AEF9-23D2F91A4DF8}"/>
  <tableColumns count="6">
    <tableColumn id="1" xr3:uid="{F437AB60-D2C4-446F-9F63-02D6BF2DE879}" name="Total Training Hours">
      <calculatedColumnFormula>'Training KPIs'!B2</calculatedColumnFormula>
    </tableColumn>
    <tableColumn id="2" xr3:uid="{BD1CF33D-9702-45F7-B1D0-CC5A837A9635}" name="Completed Training Hours" dataDxfId="94">
      <calculatedColumnFormula>'Training KPIs'!B3</calculatedColumnFormula>
    </tableColumn>
    <tableColumn id="3" xr3:uid="{05407B6D-5D8D-44AC-999A-C9CA46DDCC48}" name="Required Training Hours" dataDxfId="93">
      <calculatedColumnFormula>'Training KPIs'!B4</calculatedColumnFormula>
    </tableColumn>
    <tableColumn id="4" xr3:uid="{54FC74AC-9FFE-4423-B85A-82EFD7108CA5}" name="Overdue Training Hours" dataDxfId="92">
      <calculatedColumnFormula>'Training KPIs'!B5</calculatedColumnFormula>
    </tableColumn>
    <tableColumn id="5" xr3:uid="{EE651152-1537-4FF4-9FCB-C3D489E461B0}" name="Completed Training Records" dataDxfId="91">
      <calculatedColumnFormula>'Training KPIs'!B8</calculatedColumnFormula>
    </tableColumn>
    <tableColumn id="6" xr3:uid="{95336CC0-741A-498F-AA60-935C4981C797}" name="Overdue Training Records" dataDxfId="90">
      <calculatedColumnFormula>'Training KPIs'!B9</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80002F-1FEF-4C0F-8BD3-0AC6822665C2}" name="TMF_Dashboard" displayName="TMF_Dashboard" ref="A1:B7" totalsRowShown="0" headerRowDxfId="89">
  <autoFilter ref="A1:B7" xr:uid="{BC80002F-1FEF-4C0F-8BD3-0AC6822665C2}"/>
  <tableColumns count="2">
    <tableColumn id="1" xr3:uid="{5F2C86A8-6AEC-43A6-82B1-49497A8C1B39}" name="KPI" dataDxfId="88"/>
    <tableColumn id="2" xr3:uid="{E85E7551-9F2E-493E-9BB8-4BF9F0633C90}" name="Result" dataDxfId="87">
      <calculatedColumnFormula>'TMF KPIs'!B2</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6FC890E-795D-4B30-B38A-0C24B49E49DC}" name="Training_Tracker_2" displayName="Training_Tracker_2" ref="A1:Z9" tableType="queryTable" totalsRowShown="0">
  <autoFilter ref="A1:Z9" xr:uid="{16FC890E-795D-4B30-B38A-0C24B49E49DC}"/>
  <tableColumns count="26">
    <tableColumn id="18" xr3:uid="{CEB9AB69-1C3E-4D61-AF1D-35E1B9EE4B71}" uniqueName="18" name="Study ID" queryTableFieldId="1" dataDxfId="86"/>
    <tableColumn id="2" xr3:uid="{5821E058-D056-47D4-827E-D72E3C5346F1}" uniqueName="2" name="Employee ID" queryTableFieldId="2" dataDxfId="85"/>
    <tableColumn id="3" xr3:uid="{9B85E616-8F63-4644-9FC2-799BE5AFE687}" uniqueName="3" name="CourseID" queryTableFieldId="3" dataDxfId="84"/>
    <tableColumn id="7" xr3:uid="{78098266-4AFE-47AD-9B39-FB8D9871CAE7}" uniqueName="7" name="Training Hours" queryTableFieldId="7" dataDxfId="83"/>
    <tableColumn id="8" xr3:uid="{B878DB79-558E-4B19-85FD-094D3862409F}" uniqueName="8" name="Required / Optional" queryTableFieldId="8" dataDxfId="82"/>
    <tableColumn id="9" xr3:uid="{DC3FBAA3-7981-4A86-B4BD-921E0DE1EF26}" uniqueName="9" name="Assigned Date" queryTableFieldId="9" dataDxfId="2"/>
    <tableColumn id="10" xr3:uid="{4E293A6B-B423-40E8-B44F-6F44BF4C894F}" uniqueName="10" name="Due Date" queryTableFieldId="10" dataDxfId="1"/>
    <tableColumn id="11" xr3:uid="{E31FE39C-C53B-41ED-A6FB-EE3BB9662D1F}" uniqueName="11" name="Completed Date" queryTableFieldId="11" dataDxfId="0"/>
    <tableColumn id="12" xr3:uid="{0920A620-7A5C-448F-A70A-698012BE2A8B}" uniqueName="12" name="Status" queryTableFieldId="12" dataDxfId="81"/>
    <tableColumn id="13" xr3:uid="{8828E4DD-C4DB-41AE-AD4D-51CAD5446DBE}" uniqueName="13" name="Started?" queryTableFieldId="13" dataDxfId="80"/>
    <tableColumn id="14" xr3:uid="{4CA44C4C-6FA8-4C61-9C0C-C847651DF87A}" uniqueName="14" name="Days Overdue" queryTableFieldId="14" dataDxfId="79"/>
    <tableColumn id="15" xr3:uid="{CCA2D48C-0A8E-4AA7-883E-BA5C0A64C2CD}" uniqueName="15" name="Hourly Rate" queryTableFieldId="15" dataDxfId="78"/>
    <tableColumn id="16" xr3:uid="{B89737AC-C44D-40E9-8B0E-0766BF195524}" uniqueName="16" name="Non Compliance Cost" queryTableFieldId="16" dataDxfId="77"/>
    <tableColumn id="17" xr3:uid="{7A182999-8200-4DB5-95D0-BC362393801B}" uniqueName="17" name="Notes" queryTableFieldId="17" dataDxfId="76"/>
    <tableColumn id="30" xr3:uid="{43FC312B-1C04-429E-9483-A37C54293064}" uniqueName="30" name="Person Name" queryTableFieldId="56" dataDxfId="75"/>
    <tableColumn id="31" xr3:uid="{95A0F347-F03C-4881-8C78-AB02CDF89B09}" uniqueName="31" name="Role" queryTableFieldId="57" dataDxfId="74"/>
    <tableColumn id="32" xr3:uid="{7808AA89-20E2-4439-BB79-BCCE008F9FFE}" uniqueName="32" name="Department" queryTableFieldId="58" dataDxfId="73"/>
    <tableColumn id="6" xr3:uid="{6EC17BA6-D8C4-4888-824C-0117BC393066}" uniqueName="6" name="Training Name" queryTableFieldId="6" dataDxfId="72"/>
    <tableColumn id="33" xr3:uid="{FA799BB5-5A10-4D3A-BCC0-A7F01F062E76}" uniqueName="33" name="Category" queryTableFieldId="62" dataDxfId="71"/>
    <tableColumn id="34" xr3:uid="{174C1669-4EFD-4D1E-A4A9-061EF8D44152}" uniqueName="34" name="Required?" queryTableFieldId="63" dataDxfId="70"/>
    <tableColumn id="35" xr3:uid="{C5E80ADB-8B92-45D3-BDDF-D0B6580AB8DB}" uniqueName="35" name="Validity Months" queryTableFieldId="64"/>
    <tableColumn id="36" xr3:uid="{88240852-C904-4C4F-ABD8-62E275694102}" uniqueName="36" name="Employee ID Check" queryTableFieldId="65"/>
    <tableColumn id="37" xr3:uid="{DE467D03-138F-4955-8E82-2A18155E531C}" uniqueName="37" name="Course ID Check" queryTableFieldId="66"/>
    <tableColumn id="38" xr3:uid="{8C608A82-593B-40BC-BA2F-C063FCDEB32D}" uniqueName="38" name="Completion Date Check" queryTableFieldId="67"/>
    <tableColumn id="39" xr3:uid="{8DEF5471-E623-4068-A508-26386DE29354}" uniqueName="39" name="Overall Check" queryTableFieldId="68"/>
    <tableColumn id="40" xr3:uid="{AEC2E261-74A8-40C0-9FFF-768F6AD2A547}" uniqueName="40" name="Overdue?" queryTableFieldId="69"/>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59AC0BC-A6E5-4655-844B-82492DCC185D}" name="Employees_2" displayName="Employees_2" ref="A1:D5" tableType="queryTable" totalsRowShown="0">
  <autoFilter ref="A1:D5" xr:uid="{E59AC0BC-A6E5-4655-844B-82492DCC185D}"/>
  <tableColumns count="4">
    <tableColumn id="5" xr3:uid="{27386AEC-B763-4CF9-B820-5B4070059CD7}" uniqueName="5" name="Employee ID" queryTableFieldId="1" dataDxfId="69"/>
    <tableColumn id="2" xr3:uid="{4F1A7405-5E4F-4EE6-9EB6-A2E9A28E2928}" uniqueName="2" name="Person Name" queryTableFieldId="2" dataDxfId="68"/>
    <tableColumn id="3" xr3:uid="{4728A8B5-B063-45B8-A59A-B8ED1064B6C7}" uniqueName="3" name="Role" queryTableFieldId="3" dataDxfId="67"/>
    <tableColumn id="4" xr3:uid="{34E4084C-2D1C-41FE-AB05-B1131DBAED79}" uniqueName="4" name="Department" queryTableFieldId="4" dataDxfId="66"/>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045C71-E805-4F6F-889F-73AC5E6355A9}" name="Courses_2" displayName="Courses_2" ref="A1:E9" tableType="queryTable" totalsRowShown="0">
  <autoFilter ref="A1:E9" xr:uid="{75045C71-E805-4F6F-889F-73AC5E6355A9}"/>
  <tableColumns count="5">
    <tableColumn id="6" xr3:uid="{0ADEB453-63CF-4B13-9B92-9B5239C91E67}" uniqueName="6" name="Course ID" queryTableFieldId="1" dataDxfId="65"/>
    <tableColumn id="2" xr3:uid="{9C59A477-3299-464D-BA57-02A744434068}" uniqueName="2" name="Training Name" queryTableFieldId="2" dataDxfId="64"/>
    <tableColumn id="3" xr3:uid="{1CEDFCCC-AA1B-4D15-B76A-8D45A991D966}" uniqueName="3" name="Category" queryTableFieldId="3" dataDxfId="63"/>
    <tableColumn id="4" xr3:uid="{724F57C0-121F-448C-915A-E86CD9A70CCA}" uniqueName="4" name="Required?" queryTableFieldId="4" dataDxfId="62"/>
    <tableColumn id="5" xr3:uid="{A39D7E56-D428-4AE3-9DF2-903AF9E02E16}" uniqueName="5" name="Validity Months" queryTableFieldId="5" dataDxfId="61"/>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3FDDA23-F998-4BA2-B8DB-041B4D7635B1}" name="TFM_Documents_2" displayName="TFM_Documents_2" ref="A1:R9" tableType="queryTable" totalsRowShown="0">
  <autoFilter ref="A1:R9" xr:uid="{F3FDDA23-F998-4BA2-B8DB-041B4D7635B1}"/>
  <tableColumns count="18">
    <tableColumn id="20" xr3:uid="{4C8C7E0F-935D-4FC1-9747-8C03F2FC55CB}" uniqueName="20" name="Study ID" queryTableFieldId="1" dataDxfId="60"/>
    <tableColumn id="2" xr3:uid="{58ECA68D-97EC-4EAD-9491-11C1F011AB03}" uniqueName="2" name="Document ID" queryTableFieldId="2" dataDxfId="59"/>
    <tableColumn id="3" xr3:uid="{B95D1BA6-A755-4E24-8985-02CABB9554E3}" uniqueName="3" name="TMF Zone" queryTableFieldId="3" dataDxfId="58"/>
    <tableColumn id="4" xr3:uid="{2859A62D-85A7-40C6-BA13-F5FFE0A978AE}" uniqueName="4" name="Artifact" queryTableFieldId="4" dataDxfId="57"/>
    <tableColumn id="5" xr3:uid="{5FF10A98-74C1-4977-82FE-3DDDB0625276}" uniqueName="5" name="Document Name" queryTableFieldId="5" dataDxfId="56"/>
    <tableColumn id="6" xr3:uid="{19E55683-84F6-44DB-AF5E-E35EBBAFFA89}" uniqueName="6" name="Version" queryTableFieldId="6" dataDxfId="55"/>
    <tableColumn id="7" xr3:uid="{EA5FF503-6C20-4905-91B1-B3E27C19518A}" uniqueName="7" name="Document Status" queryTableFieldId="7" dataDxfId="54"/>
    <tableColumn id="8" xr3:uid="{FB81F77B-A767-4E2B-9B57-55FF2B76568C}" uniqueName="8" name="Owner" queryTableFieldId="8" dataDxfId="53"/>
    <tableColumn id="9" xr3:uid="{30158823-440D-446D-9052-795DE1DE735B}" uniqueName="9" name="Date Received" queryTableFieldId="9" dataDxfId="18"/>
    <tableColumn id="10" xr3:uid="{221B5FA2-7788-4CC6-96B0-5AC1D71DC365}" uniqueName="10" name="Due Date" queryTableFieldId="10" dataDxfId="17"/>
    <tableColumn id="11" xr3:uid="{F45A186B-35DB-4649-9330-E55A2481FEF6}" uniqueName="11" name="QC Status" queryTableFieldId="11" dataDxfId="52"/>
    <tableColumn id="12" xr3:uid="{2FDA8A89-932A-402B-890C-AD29D98174AB}" uniqueName="12" name="Notes" queryTableFieldId="12" dataDxfId="51"/>
    <tableColumn id="13" xr3:uid="{B1600E85-E546-45E2-A913-68B6AD387026}" uniqueName="13" name="System Status" queryTableFieldId="13" dataDxfId="50"/>
    <tableColumn id="14" xr3:uid="{AB6B0928-A640-454B-941F-037AAAA052EF}" uniqueName="14" name="Days Overdue" queryTableFieldId="14" dataDxfId="49"/>
    <tableColumn id="15" xr3:uid="{970AB402-2A6F-4411-BE03-9335381A62E1}" uniqueName="15" name="Overall Check" queryTableFieldId="15" dataDxfId="48"/>
    <tableColumn id="16" xr3:uid="{AD000DA9-23CE-4A39-94AA-87CB2424189D}" uniqueName="16" name="Document ID Check" queryTableFieldId="16" dataDxfId="47"/>
    <tableColumn id="17" xr3:uid="{8B562544-A7A4-47FA-B672-2E6A01253006}" uniqueName="17" name="Due Date Check" queryTableFieldId="17" dataDxfId="46"/>
    <tableColumn id="18" xr3:uid="{665B207F-61E8-4582-B86B-1C54ED0075A1}" uniqueName="18" name="QC Check" queryTableFieldId="18" dataDxfId="4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85EE286-F604-4F0A-8AD9-D4F0994E50A9}" name="Issue_Log_2" displayName="Issue_Log_2" ref="A1:P9" tableType="queryTable" totalsRowShown="0">
  <autoFilter ref="A1:P9" xr:uid="{185EE286-F604-4F0A-8AD9-D4F0994E50A9}"/>
  <tableColumns count="16">
    <tableColumn id="17" xr3:uid="{47A40B8B-8B50-4D02-A991-C9BABDF59FC3}" uniqueName="17" name="Issue ID" queryTableFieldId="1" dataDxfId="44"/>
    <tableColumn id="2" xr3:uid="{69C50957-75C6-448C-9906-90A2B520FD05}" uniqueName="2" name="Study ID" queryTableFieldId="2" dataDxfId="43"/>
    <tableColumn id="3" xr3:uid="{CDF6DB82-D17E-40A9-B17E-DCD81C0A6A96}" uniqueName="3" name="Issue Date" queryTableFieldId="3" dataDxfId="16"/>
    <tableColumn id="4" xr3:uid="{591F7679-3DDF-422B-AF7A-3801C1FDE698}" uniqueName="4" name="Issue Category" queryTableFieldId="4" dataDxfId="42"/>
    <tableColumn id="5" xr3:uid="{B5898EFF-281B-4868-8A74-5AC9E844B4AE}" uniqueName="5" name="Description" queryTableFieldId="5" dataDxfId="41"/>
    <tableColumn id="6" xr3:uid="{9CA979D8-87D6-40B4-8AC1-A3C7A93102D0}" uniqueName="6" name="Priority" queryTableFieldId="6" dataDxfId="40"/>
    <tableColumn id="7" xr3:uid="{8ADBB5EA-4122-4C47-BFB4-B7157160A196}" uniqueName="7" name="Owner" queryTableFieldId="7" dataDxfId="39"/>
    <tableColumn id="8" xr3:uid="{0C3EAE43-BF96-4A6D-B355-B4DD88AB1766}" uniqueName="8" name="Status" queryTableFieldId="8" dataDxfId="38"/>
    <tableColumn id="9" xr3:uid="{1D98B313-23FA-49D4-BCD3-0CE18D76D7B4}" uniqueName="9" name="Due Date" queryTableFieldId="9" dataDxfId="15"/>
    <tableColumn id="10" xr3:uid="{080F6B15-621B-47FD-A0E6-FCF18B5895A5}" uniqueName="10" name="Resolution Date" queryTableFieldId="10" dataDxfId="14"/>
    <tableColumn id="11" xr3:uid="{CF0DC38A-D9EF-4B95-BF19-0F73347812FB}" uniqueName="11" name="Days Open" queryTableFieldId="11" dataDxfId="37"/>
    <tableColumn id="12" xr3:uid="{1BC9343E-442A-46CE-B3ED-5E703BCE9240}" uniqueName="12" name="Notes" queryTableFieldId="12" dataDxfId="36"/>
    <tableColumn id="13" xr3:uid="{62839DFE-EED7-41B2-BE09-1FBAB89EEAA3}" uniqueName="13" name="Overdue?" queryTableFieldId="13" dataDxfId="35"/>
    <tableColumn id="14" xr3:uid="{37C99A3D-7FC4-4113-8080-2E044C8BB760}" uniqueName="14" name="Issue ID Check" queryTableFieldId="14" dataDxfId="34"/>
    <tableColumn id="15" xr3:uid="{907FA7C3-FFFB-46F6-A56F-CE0693877299}" uniqueName="15" name="Due Date Check" queryTableFieldId="15" dataDxfId="33"/>
    <tableColumn id="16" xr3:uid="{DF48CB9F-3D07-4E38-9844-9BDD16CC2252}" uniqueName="16" name="Overall Check PQ" queryTableFieldId="16" dataDxfId="32"/>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F9D6466-73A5-4D0E-AD96-C32AE869E38E}" name="Deliverables_2" displayName="Deliverables_2" ref="A1:P9" tableType="queryTable" totalsRowShown="0">
  <autoFilter ref="A1:P9" xr:uid="{6F9D6466-73A5-4D0E-AD96-C32AE869E38E}"/>
  <tableColumns count="16">
    <tableColumn id="17" xr3:uid="{D017C2D7-F87B-4A0D-B688-8DA539A323D2}" uniqueName="17" name="Study ID" queryTableFieldId="1" dataDxfId="31"/>
    <tableColumn id="2" xr3:uid="{F7F7C7F5-B7AF-49D3-B255-BCB4F499108C}" uniqueName="2" name="Deliverable ID" queryTableFieldId="2" dataDxfId="30"/>
    <tableColumn id="3" xr3:uid="{B45631BB-BDEB-4954-95E9-E2DE9BAE96FF}" uniqueName="3" name="Deliverable Type" queryTableFieldId="3" dataDxfId="29"/>
    <tableColumn id="4" xr3:uid="{6F9641FF-EE26-43BB-9D7D-BFC6FB156364}" uniqueName="4" name="Deliverable Name" queryTableFieldId="4" dataDxfId="28"/>
    <tableColumn id="5" xr3:uid="{6BD482D9-68AB-4B79-AFCE-E35C971EBAA7}" uniqueName="5" name="Owner" queryTableFieldId="5" dataDxfId="27"/>
    <tableColumn id="6" xr3:uid="{142AB39B-9AE1-4A28-9464-E57CB5C201F1}" uniqueName="6" name="Planned Date" queryTableFieldId="6" dataDxfId="13"/>
    <tableColumn id="7" xr3:uid="{2A40B5BB-7C48-4B10-BF68-1C806C62A0E2}" uniqueName="7" name="Due Date" queryTableFieldId="7" dataDxfId="12"/>
    <tableColumn id="8" xr3:uid="{9CF38E9D-4AC2-4BB5-882F-88913291792C}" uniqueName="8" name="Completion Date" queryTableFieldId="8" dataDxfId="11"/>
    <tableColumn id="9" xr3:uid="{68FE5578-E32D-4014-819E-87F1BFE374EF}" uniqueName="9" name="Status" queryTableFieldId="9" dataDxfId="26"/>
    <tableColumn id="10" xr3:uid="{2B7E1949-B921-4700-83B9-E3670E44371D}" uniqueName="10" name="Priority" queryTableFieldId="10" dataDxfId="25"/>
    <tableColumn id="11" xr3:uid="{09E1DB76-67EF-48DD-A76B-393F68C8C4CB}" uniqueName="11" name="Days Overdue" queryTableFieldId="11" dataDxfId="24"/>
    <tableColumn id="12" xr3:uid="{78774DD6-2659-4D2D-9E18-95F4904DDA8B}" uniqueName="12" name="Overall Check" queryTableFieldId="12" dataDxfId="23"/>
    <tableColumn id="13" xr3:uid="{C1D17032-E134-4267-9FC2-5206A5EC7B85}" uniqueName="13" name="Notes" queryTableFieldId="13" dataDxfId="22"/>
    <tableColumn id="14" xr3:uid="{8F132368-92C1-4D93-8C0D-C30B32F71729}" uniqueName="14" name="Deliverable ID Check" queryTableFieldId="14" dataDxfId="21"/>
    <tableColumn id="15" xr3:uid="{D50308A1-8E1B-4F06-B8B0-D0E96FF65ED2}" uniqueName="15" name="Due Date Check" queryTableFieldId="15" dataDxfId="20"/>
    <tableColumn id="16" xr3:uid="{D6348520-691C-49E2-BB48-9BB668A9B701}" uniqueName="16" name="Overall Check PQ" queryTableFieldId="16"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E76C7-D7CD-4CA1-B86F-E7413D4E14B2}">
  <dimension ref="A1:D5"/>
  <sheetViews>
    <sheetView workbookViewId="0">
      <selection activeCell="C6" sqref="C6"/>
    </sheetView>
  </sheetViews>
  <sheetFormatPr defaultRowHeight="14.4"/>
  <cols>
    <col min="1" max="1" width="14.109375" customWidth="1"/>
    <col min="2" max="2" width="18.6640625" customWidth="1"/>
    <col min="3" max="3" width="23.44140625" customWidth="1"/>
    <col min="4" max="4" width="17.88671875" customWidth="1"/>
  </cols>
  <sheetData>
    <row r="1" spans="1:4" ht="20.399999999999999" customHeight="1">
      <c r="A1" s="3" t="s">
        <v>34</v>
      </c>
      <c r="B1" s="3" t="s">
        <v>1</v>
      </c>
      <c r="C1" s="3" t="s">
        <v>2</v>
      </c>
      <c r="D1" s="3" t="s">
        <v>35</v>
      </c>
    </row>
    <row r="2" spans="1:4" ht="28.8">
      <c r="A2" s="1" t="s">
        <v>36</v>
      </c>
      <c r="B2" s="1" t="s">
        <v>42</v>
      </c>
      <c r="C2" s="1" t="s">
        <v>43</v>
      </c>
      <c r="D2" s="1" t="s">
        <v>37</v>
      </c>
    </row>
    <row r="3" spans="1:4">
      <c r="A3" s="1" t="s">
        <v>38</v>
      </c>
      <c r="B3" s="1" t="s">
        <v>21</v>
      </c>
      <c r="C3" s="1" t="s">
        <v>19</v>
      </c>
      <c r="D3" s="1" t="s">
        <v>37</v>
      </c>
    </row>
    <row r="4" spans="1:4">
      <c r="A4" s="1" t="s">
        <v>39</v>
      </c>
      <c r="B4" s="1" t="s">
        <v>23</v>
      </c>
      <c r="C4" s="1" t="s">
        <v>24</v>
      </c>
      <c r="D4" s="1" t="s">
        <v>37</v>
      </c>
    </row>
    <row r="5" spans="1:4">
      <c r="A5" s="1" t="s">
        <v>40</v>
      </c>
      <c r="B5" s="1" t="s">
        <v>26</v>
      </c>
      <c r="C5" s="1" t="s">
        <v>251</v>
      </c>
      <c r="D5" s="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6C20-B0DA-4589-9703-1E3DF565F0BA}">
  <dimension ref="A1:E9"/>
  <sheetViews>
    <sheetView workbookViewId="0">
      <selection activeCell="C3" sqref="C3"/>
    </sheetView>
  </sheetViews>
  <sheetFormatPr defaultRowHeight="14.4"/>
  <cols>
    <col min="1" max="1" width="15.109375" customWidth="1"/>
    <col min="2" max="2" width="19.109375" customWidth="1"/>
    <col min="3" max="3" width="15" customWidth="1"/>
    <col min="4" max="4" width="17.77734375" customWidth="1"/>
    <col min="5" max="5" width="19.77734375" customWidth="1"/>
  </cols>
  <sheetData>
    <row r="1" spans="1:5" ht="22.2" customHeight="1">
      <c r="A1" s="3" t="s">
        <v>44</v>
      </c>
      <c r="B1" s="3" t="s">
        <v>3</v>
      </c>
      <c r="C1" s="3" t="s">
        <v>45</v>
      </c>
      <c r="D1" s="3" t="s">
        <v>46</v>
      </c>
      <c r="E1" s="3" t="s">
        <v>47</v>
      </c>
    </row>
    <row r="2" spans="1:5">
      <c r="A2" s="1" t="s">
        <v>48</v>
      </c>
      <c r="B2" s="1" t="s">
        <v>20</v>
      </c>
      <c r="C2" s="1" t="s">
        <v>49</v>
      </c>
      <c r="D2" s="1" t="s">
        <v>33</v>
      </c>
      <c r="E2" s="1">
        <v>24</v>
      </c>
    </row>
    <row r="3" spans="1:5">
      <c r="A3" s="1" t="s">
        <v>50</v>
      </c>
      <c r="B3" s="1" t="s">
        <v>22</v>
      </c>
      <c r="C3" s="1" t="s">
        <v>51</v>
      </c>
      <c r="D3" s="1" t="s">
        <v>33</v>
      </c>
      <c r="E3" s="1">
        <v>12</v>
      </c>
    </row>
    <row r="4" spans="1:5">
      <c r="A4" s="1" t="s">
        <v>52</v>
      </c>
      <c r="B4" s="1" t="s">
        <v>25</v>
      </c>
      <c r="C4" s="1" t="s">
        <v>53</v>
      </c>
      <c r="D4" s="1" t="s">
        <v>33</v>
      </c>
      <c r="E4" s="1">
        <v>12</v>
      </c>
    </row>
    <row r="5" spans="1:5">
      <c r="A5" s="1" t="s">
        <v>54</v>
      </c>
      <c r="B5" s="1" t="s">
        <v>27</v>
      </c>
      <c r="C5" s="1" t="s">
        <v>55</v>
      </c>
      <c r="D5" s="1" t="s">
        <v>33</v>
      </c>
      <c r="E5" s="1">
        <v>12</v>
      </c>
    </row>
    <row r="6" spans="1:5" ht="28.8">
      <c r="A6" s="1" t="s">
        <v>56</v>
      </c>
      <c r="B6" s="1" t="s">
        <v>28</v>
      </c>
      <c r="C6" s="1" t="s">
        <v>57</v>
      </c>
      <c r="D6" s="1" t="s">
        <v>33</v>
      </c>
      <c r="E6" s="1">
        <v>12</v>
      </c>
    </row>
    <row r="7" spans="1:5" ht="28.8">
      <c r="A7" s="1" t="s">
        <v>58</v>
      </c>
      <c r="B7" s="1" t="s">
        <v>29</v>
      </c>
      <c r="C7" s="1" t="s">
        <v>49</v>
      </c>
      <c r="D7" s="1" t="s">
        <v>59</v>
      </c>
      <c r="E7" s="1">
        <v>24</v>
      </c>
    </row>
    <row r="8" spans="1:5" ht="28.8">
      <c r="A8" s="1" t="s">
        <v>60</v>
      </c>
      <c r="B8" s="1" t="s">
        <v>30</v>
      </c>
      <c r="C8" s="1" t="s">
        <v>51</v>
      </c>
      <c r="D8" s="1" t="s">
        <v>33</v>
      </c>
      <c r="E8" s="1">
        <v>12</v>
      </c>
    </row>
    <row r="9" spans="1:5">
      <c r="A9" s="1" t="s">
        <v>61</v>
      </c>
      <c r="B9" s="1" t="s">
        <v>31</v>
      </c>
      <c r="C9" s="1" t="s">
        <v>62</v>
      </c>
      <c r="D9" s="1" t="s">
        <v>33</v>
      </c>
      <c r="E9" s="1">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6351-15EE-494A-8A2D-CF88A468DCEB}">
  <dimension ref="A1:Q20"/>
  <sheetViews>
    <sheetView zoomScale="99" workbookViewId="0">
      <selection activeCell="Q2" sqref="Q2"/>
    </sheetView>
  </sheetViews>
  <sheetFormatPr defaultRowHeight="14.4"/>
  <cols>
    <col min="1" max="1" width="13.6640625" customWidth="1"/>
    <col min="2" max="3" width="15.44140625" customWidth="1"/>
    <col min="4" max="4" width="21.109375" customWidth="1"/>
    <col min="5" max="5" width="32.5546875" customWidth="1"/>
    <col min="6" max="6" width="29.44140625" customWidth="1"/>
    <col min="7" max="7" width="15" customWidth="1"/>
    <col min="8" max="8" width="11.77734375" customWidth="1"/>
    <col min="9" max="9" width="14.6640625" customWidth="1"/>
    <col min="10" max="10" width="11.77734375" customWidth="1"/>
    <col min="11" max="11" width="12.21875" customWidth="1"/>
    <col min="12" max="13" width="15.77734375" customWidth="1"/>
    <col min="14" max="14" width="22.5546875" customWidth="1"/>
    <col min="15" max="16" width="22.5546875" style="9" customWidth="1"/>
    <col min="17" max="17" width="18.77734375" customWidth="1"/>
  </cols>
  <sheetData>
    <row r="1" spans="1:17">
      <c r="A1" t="s">
        <v>0</v>
      </c>
      <c r="B1" t="s">
        <v>34</v>
      </c>
      <c r="C1" t="s">
        <v>63</v>
      </c>
      <c r="D1" t="s">
        <v>1</v>
      </c>
      <c r="E1" t="s">
        <v>2</v>
      </c>
      <c r="F1" t="s">
        <v>3</v>
      </c>
      <c r="G1" t="s">
        <v>69</v>
      </c>
      <c r="H1" t="s">
        <v>4</v>
      </c>
      <c r="I1" t="s">
        <v>5</v>
      </c>
      <c r="J1" t="s">
        <v>6</v>
      </c>
      <c r="K1" t="s">
        <v>7</v>
      </c>
      <c r="L1" t="s">
        <v>8</v>
      </c>
      <c r="M1" t="s">
        <v>32</v>
      </c>
      <c r="N1" t="s">
        <v>9</v>
      </c>
      <c r="O1" s="9" t="s">
        <v>100</v>
      </c>
      <c r="P1" s="9" t="s">
        <v>101</v>
      </c>
      <c r="Q1" t="s">
        <v>10</v>
      </c>
    </row>
    <row r="2" spans="1:17">
      <c r="A2" s="1" t="s">
        <v>18</v>
      </c>
      <c r="B2" s="1" t="s">
        <v>36</v>
      </c>
      <c r="C2" s="1" t="s">
        <v>48</v>
      </c>
      <c r="D2" s="1" t="str">
        <f>IFERROR(INDEX(Employees[Person Name], MATCH(B2, Employees[Employee ID],0)), "Employee not found")</f>
        <v>Ana Markovic Smith</v>
      </c>
      <c r="E2" s="1" t="str">
        <f>IFERROR(INDEX(Employees[Role],MATCH(B2,Employees[Employee ID],0)),"Role not found")</f>
        <v>Senior Clinical Research Associate</v>
      </c>
      <c r="F2" s="1" t="str">
        <f>IFERROR(INDEX(Courses[Training Name],MATCH(C2,Courses[Course ID],0)),"Course not found")</f>
        <v>GCP Training</v>
      </c>
      <c r="G2" s="1">
        <v>4</v>
      </c>
      <c r="H2" s="1" t="str">
        <f>IFERROR(INDEX(Courses[Required?],MATCH(C2,Courses[Course ID],0)),"Information not found")</f>
        <v>Yes</v>
      </c>
      <c r="I2" s="2">
        <v>46235</v>
      </c>
      <c r="J2" s="2">
        <v>46242</v>
      </c>
      <c r="K2" s="2">
        <v>46240</v>
      </c>
      <c r="L2" s="1" t="str">
        <f ca="1">IF(K2&lt;&gt;"","Completed",IF(J2&lt;TODAY(),"Overdue",IF(M2="Yes","In Progress","Not Started")))</f>
        <v>Completed</v>
      </c>
      <c r="M2" s="1" t="s">
        <v>33</v>
      </c>
      <c r="N2" s="3">
        <f ca="1">IF(Training_Tracker[[#This Row],[Status]]="Completed",MAX(0,Training_Tracker[[#This Row],[Completed Date]]-Training_Tracker[[#This Row],[Due Date]]),MAX(0,TODAY()-Training_Tracker[[#This Row],[Due Date]]))</f>
        <v>0</v>
      </c>
      <c r="O2" s="10"/>
      <c r="P2" s="10"/>
      <c r="Q2" s="3"/>
    </row>
    <row r="3" spans="1:17">
      <c r="A3" s="1" t="s">
        <v>18</v>
      </c>
      <c r="B3" s="1" t="s">
        <v>38</v>
      </c>
      <c r="C3" s="1" t="s">
        <v>50</v>
      </c>
      <c r="D3" s="1" t="str">
        <f>IFERROR(INDEX(Employees[Person Name], MATCH(B3, Employees[Employee ID],0)), "Employee not found")</f>
        <v>Marko Petrovic</v>
      </c>
      <c r="E3" s="1" t="str">
        <f>IFERROR(INDEX(Employees[Role],MATCH(B3,Employees[Employee ID],0)),"Role not found")</f>
        <v>Clinical Research Associate</v>
      </c>
      <c r="F3" s="1" t="str">
        <f>IFERROR(INDEX(Courses[Training Name],MATCH(C3,Courses[Course ID],0)),"Course not found")</f>
        <v>Protocol Training</v>
      </c>
      <c r="G3" s="1">
        <v>3</v>
      </c>
      <c r="H3" s="1" t="str">
        <f>IFERROR(INDEX(Courses[Required?],MATCH(C3,Courses[Course ID],0)),"Information not found")</f>
        <v>Yes</v>
      </c>
      <c r="I3" s="2">
        <v>46236</v>
      </c>
      <c r="J3" s="2">
        <v>46243</v>
      </c>
      <c r="K3" s="1"/>
      <c r="L3" s="1" t="str">
        <f t="shared" ref="L3:L9" ca="1" si="0">IF(K3&lt;&gt;"","Completed",IF(J3&lt;TODAY(),"Overdue",IF(M3="Yes","In Progress","Not Started")))</f>
        <v>Overdue</v>
      </c>
      <c r="M3" s="1" t="s">
        <v>33</v>
      </c>
      <c r="N3" s="3">
        <f ca="1">IF(Training_Tracker[[#This Row],[Status]]="Completed",MAX(0,Training_Tracker[[#This Row],[Completed Date]]-Training_Tracker[[#This Row],[Due Date]]),MAX(0,TODAY()-Training_Tracker[[#This Row],[Due Date]]))</f>
        <v>57</v>
      </c>
      <c r="O3" s="10"/>
      <c r="P3" s="10"/>
    </row>
    <row r="4" spans="1:17">
      <c r="A4" s="1" t="s">
        <v>18</v>
      </c>
      <c r="B4" s="1" t="s">
        <v>39</v>
      </c>
      <c r="C4" s="1" t="s">
        <v>52</v>
      </c>
      <c r="D4" s="1" t="str">
        <f>IFERROR(INDEX(Employees[Person Name], MATCH(B4, Employees[Employee ID],0)), "Employee not found")</f>
        <v>Jelena Nikolic</v>
      </c>
      <c r="E4" s="1" t="str">
        <f>IFERROR(INDEX(Employees[Role],MATCH(B4,Employees[Employee ID],0)),"Role not found")</f>
        <v>Clinical Trial Assistant</v>
      </c>
      <c r="F4" s="1" t="str">
        <f>IFERROR(INDEX(Courses[Training Name],MATCH(C4,Courses[Course ID],0)),"Course not found")</f>
        <v>TMF Training</v>
      </c>
      <c r="G4" s="1">
        <v>2</v>
      </c>
      <c r="H4" s="1" t="str">
        <f>IFERROR(INDEX(Courses[Required?],MATCH(C4,Courses[Course ID],0)),"Information not found")</f>
        <v>Yes</v>
      </c>
      <c r="I4" s="2">
        <v>46237</v>
      </c>
      <c r="J4" s="2">
        <v>46244</v>
      </c>
      <c r="K4" s="2">
        <v>46244</v>
      </c>
      <c r="L4" s="1" t="str">
        <f t="shared" ca="1" si="0"/>
        <v>Completed</v>
      </c>
      <c r="M4" s="1" t="s">
        <v>33</v>
      </c>
      <c r="N4" s="3">
        <f ca="1">IF(Training_Tracker[[#This Row],[Status]]="Completed",MAX(0,Training_Tracker[[#This Row],[Completed Date]]-Training_Tracker[[#This Row],[Due Date]]),MAX(0,TODAY()-Training_Tracker[[#This Row],[Due Date]]))</f>
        <v>0</v>
      </c>
      <c r="O4" s="10"/>
      <c r="P4" s="10"/>
    </row>
    <row r="5" spans="1:17">
      <c r="A5" s="1" t="s">
        <v>18</v>
      </c>
      <c r="B5" s="1" t="s">
        <v>40</v>
      </c>
      <c r="C5" s="1" t="s">
        <v>54</v>
      </c>
      <c r="D5" s="1" t="str">
        <f>IFERROR(INDEX(Employees[Person Name], MATCH(B5, Employees[Employee ID],0)), "Employee not found")</f>
        <v>Stefan Ilic</v>
      </c>
      <c r="E5" s="1" t="str">
        <f>IFERROR(INDEX(Employees[Role],MATCH(B5,Employees[Employee ID],0)),"Role not found")</f>
        <v>Data Manager</v>
      </c>
      <c r="F5" s="1" t="str">
        <f>IFERROR(INDEX(Courses[Training Name],MATCH(C5,Courses[Course ID],0)),"Course not found")</f>
        <v>EDC System Training</v>
      </c>
      <c r="G5" s="1">
        <v>3</v>
      </c>
      <c r="H5" s="1" t="str">
        <f>IFERROR(INDEX(Courses[Required?],MATCH(C5,Courses[Course ID],0)),"Information not found")</f>
        <v>Yes</v>
      </c>
      <c r="I5" s="2">
        <v>46238</v>
      </c>
      <c r="J5" s="2">
        <v>46245</v>
      </c>
      <c r="K5" s="1"/>
      <c r="L5" s="1" t="str">
        <f t="shared" ca="1" si="0"/>
        <v>Overdue</v>
      </c>
      <c r="M5" s="1" t="s">
        <v>33</v>
      </c>
      <c r="N5" s="3">
        <f ca="1">IF(Training_Tracker[[#This Row],[Status]]="Completed",MAX(0,Training_Tracker[[#This Row],[Completed Date]]-Training_Tracker[[#This Row],[Due Date]]),MAX(0,TODAY()-Training_Tracker[[#This Row],[Due Date]]))</f>
        <v>55</v>
      </c>
      <c r="O5" s="10"/>
      <c r="P5" s="10"/>
    </row>
    <row r="6" spans="1:17">
      <c r="A6" s="1" t="s">
        <v>18</v>
      </c>
      <c r="B6" s="1" t="s">
        <v>36</v>
      </c>
      <c r="C6" s="1" t="s">
        <v>56</v>
      </c>
      <c r="D6" s="1" t="str">
        <f>IFERROR(INDEX(Employees[Person Name], MATCH(B6, Employees[Employee ID],0)), "Employee not found")</f>
        <v>Ana Markovic Smith</v>
      </c>
      <c r="E6" s="1" t="str">
        <f>IFERROR(INDEX(Employees[Role],MATCH(B6,Employees[Employee ID],0)),"Role not found")</f>
        <v>Senior Clinical Research Associate</v>
      </c>
      <c r="F6" s="1" t="str">
        <f>IFERROR(INDEX(Courses[Training Name],MATCH(C6,Courses[Course ID],0)),"Course not found")</f>
        <v>Safety Reporting Training</v>
      </c>
      <c r="G6" s="1">
        <v>4</v>
      </c>
      <c r="H6" s="1" t="str">
        <f>IFERROR(INDEX(Courses[Required?],MATCH(C6,Courses[Course ID],0)),"Information not found")</f>
        <v>Yes</v>
      </c>
      <c r="I6" s="2">
        <v>46239</v>
      </c>
      <c r="J6" s="2">
        <v>46246</v>
      </c>
      <c r="K6" s="2">
        <v>46247</v>
      </c>
      <c r="L6" s="1" t="str">
        <f t="shared" ca="1" si="0"/>
        <v>Completed</v>
      </c>
      <c r="M6" s="1" t="s">
        <v>33</v>
      </c>
      <c r="N6" s="3">
        <f ca="1">IF(Training_Tracker[[#This Row],[Status]]="Completed",MAX(0,Training_Tracker[[#This Row],[Completed Date]]-Training_Tracker[[#This Row],[Due Date]]),MAX(0,TODAY()-Training_Tracker[[#This Row],[Due Date]]))</f>
        <v>1</v>
      </c>
      <c r="O6" s="10"/>
      <c r="P6" s="10"/>
    </row>
    <row r="7" spans="1:17">
      <c r="A7" s="1" t="s">
        <v>18</v>
      </c>
      <c r="B7" s="1" t="s">
        <v>39</v>
      </c>
      <c r="C7" s="1" t="s">
        <v>58</v>
      </c>
      <c r="D7" s="1" t="str">
        <f>IFERROR(INDEX(Employees[Person Name], MATCH(B7, Employees[Employee ID],0)), "Employee not found")</f>
        <v>Jelena Nikolic</v>
      </c>
      <c r="E7" s="1" t="str">
        <f>IFERROR(INDEX(Employees[Role],MATCH(B7,Employees[Employee ID],0)),"Role not found")</f>
        <v>Clinical Trial Assistant</v>
      </c>
      <c r="F7" s="1" t="str">
        <f>IFERROR(INDEX(Courses[Training Name],MATCH(C7,Courses[Course ID],0)),"Course not found")</f>
        <v>ICH Guidelines Refresher</v>
      </c>
      <c r="G7" s="1">
        <v>2</v>
      </c>
      <c r="H7" s="1" t="str">
        <f>IFERROR(INDEX(Courses[Required?],MATCH(C7,Courses[Course ID],0)),"Information not found")</f>
        <v>No</v>
      </c>
      <c r="I7" s="2">
        <v>46240</v>
      </c>
      <c r="J7" s="2">
        <v>46254</v>
      </c>
      <c r="K7" s="1"/>
      <c r="L7" s="1" t="str">
        <f t="shared" ca="1" si="0"/>
        <v>Overdue</v>
      </c>
      <c r="M7" s="1" t="s">
        <v>33</v>
      </c>
      <c r="N7" s="3">
        <f ca="1">IF(Training_Tracker[[#This Row],[Status]]="Completed",MAX(0,Training_Tracker[[#This Row],[Completed Date]]-Training_Tracker[[#This Row],[Due Date]]),MAX(0,TODAY()-Training_Tracker[[#This Row],[Due Date]]))</f>
        <v>46</v>
      </c>
      <c r="O7" s="10"/>
      <c r="P7" s="10"/>
    </row>
    <row r="8" spans="1:17" ht="18.600000000000001" customHeight="1">
      <c r="A8" s="1" t="s">
        <v>18</v>
      </c>
      <c r="B8" s="1" t="s">
        <v>38</v>
      </c>
      <c r="C8" s="1" t="s">
        <v>60</v>
      </c>
      <c r="D8" s="1" t="str">
        <f>IFERROR(INDEX(Employees[Person Name], MATCH(B8, Employees[Employee ID],0)), "Employee not found")</f>
        <v>Marko Petrovic</v>
      </c>
      <c r="E8" s="1" t="str">
        <f>IFERROR(INDEX(Employees[Role],MATCH(B8,Employees[Employee ID],0)),"Role not found")</f>
        <v>Clinical Research Associate</v>
      </c>
      <c r="F8" s="1" t="str">
        <f>IFERROR(INDEX(Courses[Training Name],MATCH(C8,Courses[Course ID],0)),"Course not found")</f>
        <v>Investigator Meeting Training</v>
      </c>
      <c r="G8" s="1">
        <v>5</v>
      </c>
      <c r="H8" s="1" t="str">
        <f>IFERROR(INDEX(Courses[Required?],MATCH(C8,Courses[Course ID],0)),"Information not found")</f>
        <v>Yes</v>
      </c>
      <c r="I8" s="2">
        <v>46241</v>
      </c>
      <c r="J8" s="2">
        <v>46248</v>
      </c>
      <c r="K8" s="2">
        <v>46248</v>
      </c>
      <c r="L8" s="1" t="str">
        <f t="shared" ca="1" si="0"/>
        <v>Completed</v>
      </c>
      <c r="M8" s="1" t="s">
        <v>33</v>
      </c>
      <c r="N8" s="3">
        <f ca="1">IF(Training_Tracker[[#This Row],[Status]]="Completed",MAX(0,Training_Tracker[[#This Row],[Completed Date]]-Training_Tracker[[#This Row],[Due Date]]),MAX(0,TODAY()-Training_Tracker[[#This Row],[Due Date]]))</f>
        <v>0</v>
      </c>
      <c r="O8" s="10"/>
      <c r="P8" s="10"/>
    </row>
    <row r="9" spans="1:17">
      <c r="A9" s="1" t="s">
        <v>18</v>
      </c>
      <c r="B9" s="1" t="s">
        <v>40</v>
      </c>
      <c r="C9" s="1" t="s">
        <v>61</v>
      </c>
      <c r="D9" s="1" t="str">
        <f>IFERROR(INDEX(Employees[Person Name], MATCH(B9, Employees[Employee ID],0)), "Employee not found")</f>
        <v>Stefan Ilic</v>
      </c>
      <c r="E9" s="1" t="str">
        <f>IFERROR(INDEX(Employees[Role],MATCH(B9,Employees[Employee ID],0)),"Role not found")</f>
        <v>Data Manager</v>
      </c>
      <c r="F9" s="1" t="str">
        <f>IFERROR(INDEX(Courses[Training Name],MATCH(C9,Courses[Course ID],0)),"Course not found")</f>
        <v>Data Privacy Training</v>
      </c>
      <c r="G9" s="1">
        <v>2</v>
      </c>
      <c r="H9" s="1" t="str">
        <f>IFERROR(INDEX(Courses[Required?],MATCH(C9,Courses[Course ID],0)),"Information not found")</f>
        <v>Yes</v>
      </c>
      <c r="I9" s="2">
        <v>46242</v>
      </c>
      <c r="J9" s="2">
        <v>46249</v>
      </c>
      <c r="K9" s="1"/>
      <c r="L9" s="1" t="str">
        <f t="shared" ca="1" si="0"/>
        <v>Overdue</v>
      </c>
      <c r="M9" s="1" t="s">
        <v>33</v>
      </c>
      <c r="N9" s="3">
        <f ca="1">IF(Training_Tracker[[#This Row],[Status]]="Completed",MAX(0,Training_Tracker[[#This Row],[Completed Date]]-Training_Tracker[[#This Row],[Due Date]]),MAX(0,TODAY()-Training_Tracker[[#This Row],[Due Date]]))</f>
        <v>51</v>
      </c>
      <c r="O9" s="10"/>
      <c r="P9" s="10"/>
    </row>
    <row r="12" spans="1:17">
      <c r="N12" s="9"/>
      <c r="P12"/>
    </row>
    <row r="13" spans="1:17">
      <c r="N13" s="9"/>
      <c r="P13"/>
    </row>
    <row r="14" spans="1:17">
      <c r="N14" s="9"/>
      <c r="P14"/>
    </row>
    <row r="15" spans="1:17">
      <c r="N15" s="9"/>
      <c r="P15"/>
    </row>
    <row r="16" spans="1:17">
      <c r="N16" s="9"/>
      <c r="P16"/>
    </row>
    <row r="17" spans="14:16">
      <c r="N17" s="9"/>
      <c r="P17"/>
    </row>
    <row r="18" spans="14:16">
      <c r="N18" s="9"/>
      <c r="P18"/>
    </row>
    <row r="19" spans="14:16">
      <c r="N19" s="9"/>
      <c r="P19"/>
    </row>
    <row r="20" spans="14:16">
      <c r="N20" s="9"/>
      <c r="P20"/>
    </row>
  </sheetData>
  <conditionalFormatting sqref="L1:M11 K12:L20 L21:M1048576">
    <cfRule type="containsText" dxfId="10" priority="2" operator="containsText" text="Not Started">
      <formula>NOT(ISERROR(SEARCH("Not Started",K1)))</formula>
    </cfRule>
    <cfRule type="containsText" dxfId="9" priority="3" operator="containsText" text="In Progress">
      <formula>NOT(ISERROR(SEARCH("In Progress",K1)))</formula>
    </cfRule>
    <cfRule type="containsText" dxfId="8" priority="4" operator="containsText" text="Completed">
      <formula>NOT(ISERROR(SEARCH("Completed",K1)))</formula>
    </cfRule>
  </conditionalFormatting>
  <conditionalFormatting sqref="N2:N9">
    <cfRule type="cellIs" dxfId="7" priority="1" operator="greaterThan">
      <formula>0</formula>
    </cfRule>
  </conditionalFormatting>
  <dataValidations count="3">
    <dataValidation type="list" allowBlank="1" showInputMessage="1" showErrorMessage="1" sqref="H10:H11 H21:H1048576 G12:G20" xr:uid="{54D521B3-06EA-4772-A5F4-10223513D937}">
      <formula1>"Required,Optional"</formula1>
    </dataValidation>
    <dataValidation type="list" allowBlank="1" showInputMessage="1" showErrorMessage="1" sqref="L10:L11 L21:L1048576 K12:K20" xr:uid="{6ED9279A-0865-4ED8-B3FE-CFEC08F6A766}">
      <formula1>"Not Started,In Progress,Completed,Overdue"</formula1>
    </dataValidation>
    <dataValidation type="list" allowBlank="1" showInputMessage="1" showErrorMessage="1" sqref="M2:M11 M21:M1048576 L12:L20" xr:uid="{7111511A-0457-4144-BDE2-2185F27C0EA0}">
      <formula1>"Yes, 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4AF8-D2CB-4A9C-B867-80F43502EAB8}">
  <dimension ref="A1:O13"/>
  <sheetViews>
    <sheetView zoomScale="72" workbookViewId="0">
      <selection activeCell="C6" sqref="C6"/>
    </sheetView>
  </sheetViews>
  <sheetFormatPr defaultRowHeight="14.4"/>
  <cols>
    <col min="1" max="1" width="10" customWidth="1"/>
    <col min="2" max="2" width="13.88671875" customWidth="1"/>
    <col min="3" max="3" width="15.77734375" customWidth="1"/>
    <col min="4" max="4" width="9.109375" customWidth="1"/>
    <col min="5" max="5" width="17.109375" customWidth="1"/>
    <col min="6" max="6" width="9.21875" customWidth="1"/>
    <col min="7" max="7" width="17.33203125" customWidth="1"/>
    <col min="9" max="9" width="14.77734375" style="13" customWidth="1"/>
    <col min="10" max="10" width="10.5546875" style="13" customWidth="1"/>
    <col min="11" max="11" width="11" customWidth="1"/>
    <col min="12" max="12" width="21.5546875" customWidth="1"/>
    <col min="13" max="13" width="18.109375" customWidth="1"/>
    <col min="14" max="14" width="15" customWidth="1"/>
    <col min="15" max="15" width="18.21875" customWidth="1"/>
  </cols>
  <sheetData>
    <row r="1" spans="1:15">
      <c r="A1" s="3" t="s">
        <v>0</v>
      </c>
      <c r="B1" s="3" t="s">
        <v>103</v>
      </c>
      <c r="C1" s="3" t="s">
        <v>104</v>
      </c>
      <c r="D1" s="3" t="s">
        <v>105</v>
      </c>
      <c r="E1" s="3" t="s">
        <v>15</v>
      </c>
      <c r="F1" s="3" t="s">
        <v>16</v>
      </c>
      <c r="G1" s="3" t="s">
        <v>106</v>
      </c>
      <c r="H1" s="3" t="s">
        <v>13</v>
      </c>
      <c r="I1" s="15" t="s">
        <v>107</v>
      </c>
      <c r="J1" s="15" t="s">
        <v>6</v>
      </c>
      <c r="K1" s="3" t="s">
        <v>17</v>
      </c>
      <c r="L1" s="3" t="s">
        <v>10</v>
      </c>
      <c r="M1" s="3" t="s">
        <v>142</v>
      </c>
      <c r="N1" s="3" t="s">
        <v>9</v>
      </c>
      <c r="O1" s="3" t="s">
        <v>97</v>
      </c>
    </row>
    <row r="2" spans="1:15" ht="43.2">
      <c r="A2" s="1" t="s">
        <v>108</v>
      </c>
      <c r="B2" s="1" t="s">
        <v>109</v>
      </c>
      <c r="C2" s="1" t="s">
        <v>110</v>
      </c>
      <c r="D2" s="1">
        <v>1</v>
      </c>
      <c r="E2" s="1" t="s">
        <v>111</v>
      </c>
      <c r="F2" s="1">
        <v>1</v>
      </c>
      <c r="G2" s="1" t="s">
        <v>112</v>
      </c>
      <c r="H2" s="1" t="s">
        <v>42</v>
      </c>
      <c r="I2" s="14">
        <v>46235</v>
      </c>
      <c r="J2" s="14">
        <v>46239</v>
      </c>
      <c r="K2" s="1" t="s">
        <v>113</v>
      </c>
      <c r="L2" s="1" t="s">
        <v>114</v>
      </c>
      <c r="M2" s="1" t="str">
        <f t="shared" ref="M2:M9" ca="1" si="0">IF(G2="Approved","Completed",IF(J2&lt;TODAY(),"Overdue", IF(G2="Pending QC","In Progress","Not Started")))</f>
        <v>Completed</v>
      </c>
      <c r="N2" s="1">
        <f t="shared" ref="N2:N9" ca="1" si="1">IF(M2="Overdue",MAX(0,TODAY()-J2),0)</f>
        <v>0</v>
      </c>
      <c r="O2" s="1" t="str">
        <f t="shared" ref="O2:O9" ca="1" si="2">IF(OR(K2="Failed",M2="Overdue"),"FAIL","PASS")</f>
        <v>PASS</v>
      </c>
    </row>
    <row r="3" spans="1:15" ht="28.8">
      <c r="A3" s="1" t="s">
        <v>108</v>
      </c>
      <c r="B3" s="1" t="s">
        <v>115</v>
      </c>
      <c r="C3" s="1" t="s">
        <v>110</v>
      </c>
      <c r="D3" s="1">
        <v>2</v>
      </c>
      <c r="E3" s="1" t="s">
        <v>51</v>
      </c>
      <c r="F3" s="1">
        <v>2</v>
      </c>
      <c r="G3" s="1" t="s">
        <v>112</v>
      </c>
      <c r="H3" s="1" t="s">
        <v>21</v>
      </c>
      <c r="I3" s="14">
        <v>46237</v>
      </c>
      <c r="J3" s="14">
        <v>46241</v>
      </c>
      <c r="K3" s="1" t="s">
        <v>113</v>
      </c>
      <c r="L3" s="1" t="s">
        <v>116</v>
      </c>
      <c r="M3" s="1" t="str">
        <f t="shared" ca="1" si="0"/>
        <v>Completed</v>
      </c>
      <c r="N3" s="1">
        <f t="shared" ca="1" si="1"/>
        <v>0</v>
      </c>
      <c r="O3" s="1" t="str">
        <f t="shared" ca="1" si="2"/>
        <v>PASS</v>
      </c>
    </row>
    <row r="4" spans="1:15" ht="28.8">
      <c r="A4" s="1" t="s">
        <v>108</v>
      </c>
      <c r="B4" s="1" t="s">
        <v>117</v>
      </c>
      <c r="C4" s="1" t="s">
        <v>118</v>
      </c>
      <c r="D4" s="1">
        <v>1</v>
      </c>
      <c r="E4" s="1" t="s">
        <v>119</v>
      </c>
      <c r="F4" s="1">
        <v>1</v>
      </c>
      <c r="G4" s="1" t="s">
        <v>120</v>
      </c>
      <c r="H4" s="1" t="s">
        <v>23</v>
      </c>
      <c r="I4" s="14">
        <v>46242</v>
      </c>
      <c r="J4" s="14">
        <v>46246</v>
      </c>
      <c r="K4" s="1" t="s">
        <v>121</v>
      </c>
      <c r="L4" s="1" t="s">
        <v>122</v>
      </c>
      <c r="M4" s="1" t="str">
        <f t="shared" ca="1" si="0"/>
        <v>Overdue</v>
      </c>
      <c r="N4" s="1">
        <f t="shared" ca="1" si="1"/>
        <v>54</v>
      </c>
      <c r="O4" s="1" t="str">
        <f t="shared" ca="1" si="2"/>
        <v>FAIL</v>
      </c>
    </row>
    <row r="5" spans="1:15" ht="28.8">
      <c r="A5" s="1" t="s">
        <v>108</v>
      </c>
      <c r="B5" s="1" t="s">
        <v>123</v>
      </c>
      <c r="C5" s="1" t="s">
        <v>57</v>
      </c>
      <c r="D5" s="1">
        <v>1</v>
      </c>
      <c r="E5" s="1" t="s">
        <v>124</v>
      </c>
      <c r="F5" s="1">
        <v>1</v>
      </c>
      <c r="G5" s="1" t="s">
        <v>112</v>
      </c>
      <c r="H5" s="1" t="s">
        <v>26</v>
      </c>
      <c r="I5" s="14">
        <v>46239</v>
      </c>
      <c r="J5" s="14">
        <v>46244</v>
      </c>
      <c r="K5" s="1" t="s">
        <v>113</v>
      </c>
      <c r="L5" s="1" t="s">
        <v>125</v>
      </c>
      <c r="M5" s="1" t="str">
        <f t="shared" ca="1" si="0"/>
        <v>Completed</v>
      </c>
      <c r="N5" s="1">
        <f t="shared" ca="1" si="1"/>
        <v>0</v>
      </c>
      <c r="O5" s="1" t="str">
        <f t="shared" ca="1" si="2"/>
        <v>PASS</v>
      </c>
    </row>
    <row r="6" spans="1:15" ht="43.2">
      <c r="A6" s="1" t="s">
        <v>126</v>
      </c>
      <c r="B6" s="1" t="s">
        <v>127</v>
      </c>
      <c r="C6" s="1" t="s">
        <v>110</v>
      </c>
      <c r="D6" s="1">
        <v>3</v>
      </c>
      <c r="E6" s="1" t="s">
        <v>128</v>
      </c>
      <c r="F6" s="1">
        <v>1</v>
      </c>
      <c r="G6" s="1" t="s">
        <v>129</v>
      </c>
      <c r="H6" s="1" t="s">
        <v>42</v>
      </c>
      <c r="I6" s="14">
        <v>46249</v>
      </c>
      <c r="J6" s="14">
        <v>46256</v>
      </c>
      <c r="K6" s="1" t="s">
        <v>67</v>
      </c>
      <c r="L6" s="1" t="s">
        <v>130</v>
      </c>
      <c r="M6" s="1" t="str">
        <f t="shared" ca="1" si="0"/>
        <v>Overdue</v>
      </c>
      <c r="N6" s="1">
        <f t="shared" ca="1" si="1"/>
        <v>44</v>
      </c>
      <c r="O6" s="1" t="str">
        <f t="shared" ca="1" si="2"/>
        <v>FAIL</v>
      </c>
    </row>
    <row r="7" spans="1:15" ht="28.8">
      <c r="A7" s="1" t="s">
        <v>126</v>
      </c>
      <c r="B7" s="1" t="s">
        <v>131</v>
      </c>
      <c r="C7" s="1" t="s">
        <v>132</v>
      </c>
      <c r="D7" s="1">
        <v>1</v>
      </c>
      <c r="E7" s="1" t="s">
        <v>133</v>
      </c>
      <c r="F7" s="1">
        <v>1</v>
      </c>
      <c r="G7" s="1" t="s">
        <v>112</v>
      </c>
      <c r="H7" s="1" t="s">
        <v>21</v>
      </c>
      <c r="I7" s="14">
        <v>46252</v>
      </c>
      <c r="J7" s="14">
        <v>46254</v>
      </c>
      <c r="K7" s="1" t="s">
        <v>113</v>
      </c>
      <c r="L7" s="1" t="s">
        <v>134</v>
      </c>
      <c r="M7" s="1" t="str">
        <f t="shared" ca="1" si="0"/>
        <v>Completed</v>
      </c>
      <c r="N7" s="1">
        <f t="shared" ca="1" si="1"/>
        <v>0</v>
      </c>
      <c r="O7" s="1" t="str">
        <f t="shared" ca="1" si="2"/>
        <v>PASS</v>
      </c>
    </row>
    <row r="8" spans="1:15" ht="28.8">
      <c r="A8" s="1" t="s">
        <v>126</v>
      </c>
      <c r="B8" s="1" t="s">
        <v>135</v>
      </c>
      <c r="C8" s="1" t="s">
        <v>41</v>
      </c>
      <c r="D8" s="1">
        <v>2</v>
      </c>
      <c r="E8" s="1" t="s">
        <v>136</v>
      </c>
      <c r="F8" s="1">
        <v>1.1000000000000001</v>
      </c>
      <c r="G8" s="1" t="s">
        <v>120</v>
      </c>
      <c r="H8" s="1" t="s">
        <v>26</v>
      </c>
      <c r="I8" s="14">
        <v>46254</v>
      </c>
      <c r="J8" s="14">
        <v>46259</v>
      </c>
      <c r="K8" s="1" t="s">
        <v>137</v>
      </c>
      <c r="L8" s="1" t="s">
        <v>138</v>
      </c>
      <c r="M8" s="1" t="str">
        <f t="shared" ca="1" si="0"/>
        <v>Overdue</v>
      </c>
      <c r="N8" s="1">
        <f t="shared" ca="1" si="1"/>
        <v>41</v>
      </c>
      <c r="O8" s="1" t="str">
        <f t="shared" ca="1" si="2"/>
        <v>FAIL</v>
      </c>
    </row>
    <row r="9" spans="1:15" ht="28.8">
      <c r="A9" s="1" t="s">
        <v>126</v>
      </c>
      <c r="B9" s="1" t="s">
        <v>139</v>
      </c>
      <c r="C9" s="1" t="s">
        <v>118</v>
      </c>
      <c r="D9" s="1">
        <v>2</v>
      </c>
      <c r="E9" s="1" t="s">
        <v>140</v>
      </c>
      <c r="F9" s="1">
        <v>1</v>
      </c>
      <c r="G9" s="1" t="s">
        <v>68</v>
      </c>
      <c r="H9" s="1" t="s">
        <v>23</v>
      </c>
      <c r="I9" s="14">
        <v>46254</v>
      </c>
      <c r="J9" s="14">
        <v>46262</v>
      </c>
      <c r="K9" s="1" t="s">
        <v>67</v>
      </c>
      <c r="L9" s="1" t="s">
        <v>141</v>
      </c>
      <c r="M9" s="1" t="str">
        <f t="shared" ca="1" si="0"/>
        <v>Overdue</v>
      </c>
      <c r="N9" s="1">
        <f t="shared" ca="1" si="1"/>
        <v>38</v>
      </c>
      <c r="O9" s="1" t="str">
        <f t="shared" ca="1" si="2"/>
        <v>FAIL</v>
      </c>
    </row>
    <row r="10" spans="1:15">
      <c r="A10" s="1"/>
      <c r="B10" s="1"/>
      <c r="C10" s="1"/>
      <c r="D10" s="1"/>
      <c r="E10" s="1"/>
      <c r="F10" s="1"/>
      <c r="G10" s="1"/>
      <c r="H10" s="1"/>
      <c r="I10" s="14"/>
      <c r="J10" s="14"/>
      <c r="K10" s="1"/>
      <c r="L10" s="1"/>
      <c r="M10" s="1"/>
      <c r="N10" s="1"/>
    </row>
    <row r="11" spans="1:15">
      <c r="A11" s="1"/>
      <c r="B11" s="1"/>
      <c r="C11" s="1"/>
      <c r="D11" s="1"/>
      <c r="E11" s="1"/>
      <c r="F11" s="1"/>
      <c r="G11" s="1"/>
      <c r="H11" s="1"/>
      <c r="I11" s="14"/>
      <c r="J11" s="14"/>
      <c r="K11" s="1"/>
      <c r="L11" s="1"/>
      <c r="M11" s="1"/>
      <c r="N11" s="1"/>
    </row>
    <row r="12" spans="1:15">
      <c r="A12" s="1"/>
      <c r="B12" s="1"/>
      <c r="C12" s="1"/>
      <c r="D12" s="1"/>
      <c r="E12" s="1"/>
      <c r="F12" s="1"/>
      <c r="G12" s="1"/>
      <c r="H12" s="1"/>
      <c r="I12" s="14"/>
      <c r="J12" s="14"/>
      <c r="K12" s="1"/>
      <c r="L12" s="1"/>
      <c r="M12" s="1"/>
      <c r="N12" s="1"/>
    </row>
    <row r="13" spans="1:15">
      <c r="A13" s="1"/>
      <c r="B13" s="1"/>
      <c r="C13" s="1"/>
      <c r="D13" s="1"/>
      <c r="E13" s="1"/>
      <c r="F13" s="1"/>
      <c r="G13" s="1"/>
      <c r="H13" s="1"/>
      <c r="I13" s="14"/>
      <c r="J13" s="14"/>
      <c r="K13" s="1"/>
      <c r="L13" s="1"/>
      <c r="M13" s="1"/>
      <c r="N13" s="1"/>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49AF-67E5-4BB6-93B2-AE6E92770570}">
  <dimension ref="A1:M9"/>
  <sheetViews>
    <sheetView workbookViewId="0">
      <selection activeCell="J5" sqref="J5"/>
    </sheetView>
  </sheetViews>
  <sheetFormatPr defaultRowHeight="14.4"/>
  <cols>
    <col min="1" max="1" width="9.33203125" customWidth="1"/>
    <col min="2" max="2" width="10" customWidth="1"/>
    <col min="3" max="3" width="11.44140625" customWidth="1"/>
    <col min="4" max="4" width="15.109375" customWidth="1"/>
    <col min="5" max="5" width="12.33203125" customWidth="1"/>
    <col min="6" max="6" width="9" customWidth="1"/>
    <col min="8" max="8" width="8.109375" customWidth="1"/>
    <col min="9" max="9" width="10.5546875" customWidth="1"/>
    <col min="10" max="10" width="16.109375" customWidth="1"/>
    <col min="11" max="11" width="11.88671875" customWidth="1"/>
    <col min="12" max="12" width="27.6640625" customWidth="1"/>
    <col min="13" max="13" width="15.109375" customWidth="1"/>
  </cols>
  <sheetData>
    <row r="1" spans="1:13">
      <c r="A1" t="s">
        <v>11</v>
      </c>
      <c r="B1" t="s">
        <v>0</v>
      </c>
      <c r="C1" t="s">
        <v>157</v>
      </c>
      <c r="D1" t="s">
        <v>158</v>
      </c>
      <c r="E1" t="s">
        <v>159</v>
      </c>
      <c r="F1" t="s">
        <v>12</v>
      </c>
      <c r="G1" t="s">
        <v>13</v>
      </c>
      <c r="H1" t="s">
        <v>8</v>
      </c>
      <c r="I1" t="s">
        <v>6</v>
      </c>
      <c r="J1" t="s">
        <v>160</v>
      </c>
      <c r="K1" t="s">
        <v>161</v>
      </c>
      <c r="L1" t="s">
        <v>10</v>
      </c>
      <c r="M1" t="s">
        <v>198</v>
      </c>
    </row>
    <row r="2" spans="1:13">
      <c r="A2" t="s">
        <v>162</v>
      </c>
      <c r="B2" t="s">
        <v>108</v>
      </c>
      <c r="C2" s="13">
        <v>46237</v>
      </c>
      <c r="D2" t="s">
        <v>163</v>
      </c>
      <c r="E2" t="s">
        <v>164</v>
      </c>
      <c r="F2" t="s">
        <v>165</v>
      </c>
      <c r="G2" t="s">
        <v>42</v>
      </c>
      <c r="H2" t="s">
        <v>166</v>
      </c>
      <c r="I2" s="13">
        <v>46239</v>
      </c>
      <c r="K2">
        <f ca="1">IF(H2="Resolved", J2-C2,TODAY()-C2)</f>
        <v>63</v>
      </c>
      <c r="L2" t="s">
        <v>167</v>
      </c>
      <c r="M2" t="str">
        <f ca="1">IF(AND(H2&lt;&gt;"Resolved",I2&lt;TODAY()),"Overdue","On Track")</f>
        <v>Overdue</v>
      </c>
    </row>
    <row r="3" spans="1:13">
      <c r="A3" t="s">
        <v>168</v>
      </c>
      <c r="B3" t="s">
        <v>108</v>
      </c>
      <c r="C3" s="13">
        <v>46239</v>
      </c>
      <c r="D3" t="s">
        <v>169</v>
      </c>
      <c r="E3" t="s">
        <v>170</v>
      </c>
      <c r="F3" t="s">
        <v>171</v>
      </c>
      <c r="G3" t="s">
        <v>26</v>
      </c>
      <c r="H3" t="s">
        <v>66</v>
      </c>
      <c r="I3" s="13">
        <v>46244</v>
      </c>
      <c r="K3">
        <f t="shared" ref="K3:K9" ca="1" si="0">IF(H3="Resolved", J3-C3,TODAY()-C3)</f>
        <v>61</v>
      </c>
      <c r="L3" t="s">
        <v>172</v>
      </c>
      <c r="M3" t="str">
        <f t="shared" ref="M3:M9" ca="1" si="1">IF(AND(H3&lt;&gt;"Resolved",I3&lt;TODAY()),"Overdue","On Track")</f>
        <v>Overdue</v>
      </c>
    </row>
    <row r="4" spans="1:13">
      <c r="A4" t="s">
        <v>173</v>
      </c>
      <c r="B4" t="s">
        <v>108</v>
      </c>
      <c r="C4" s="13">
        <v>46242</v>
      </c>
      <c r="D4" t="s">
        <v>53</v>
      </c>
      <c r="E4" t="s">
        <v>174</v>
      </c>
      <c r="F4" t="s">
        <v>165</v>
      </c>
      <c r="G4" t="s">
        <v>23</v>
      </c>
      <c r="H4" t="s">
        <v>166</v>
      </c>
      <c r="I4" s="13">
        <v>46246</v>
      </c>
      <c r="K4">
        <f t="shared" ca="1" si="0"/>
        <v>58</v>
      </c>
      <c r="L4" t="s">
        <v>175</v>
      </c>
      <c r="M4" t="str">
        <f t="shared" ca="1" si="1"/>
        <v>Overdue</v>
      </c>
    </row>
    <row r="5" spans="1:13">
      <c r="A5" t="s">
        <v>176</v>
      </c>
      <c r="B5" t="s">
        <v>108</v>
      </c>
      <c r="C5" s="13">
        <v>46244</v>
      </c>
      <c r="D5" t="s">
        <v>177</v>
      </c>
      <c r="E5" t="s">
        <v>178</v>
      </c>
      <c r="F5" t="s">
        <v>165</v>
      </c>
      <c r="G5" t="s">
        <v>21</v>
      </c>
      <c r="H5" t="s">
        <v>179</v>
      </c>
      <c r="I5" s="13">
        <v>46245</v>
      </c>
      <c r="J5" s="13">
        <v>46245</v>
      </c>
      <c r="K5">
        <f t="shared" ca="1" si="0"/>
        <v>1</v>
      </c>
      <c r="L5" t="s">
        <v>180</v>
      </c>
      <c r="M5" t="str">
        <f t="shared" ca="1" si="1"/>
        <v>On Track</v>
      </c>
    </row>
    <row r="6" spans="1:13">
      <c r="A6" t="s">
        <v>181</v>
      </c>
      <c r="B6" t="s">
        <v>126</v>
      </c>
      <c r="C6" s="13">
        <v>46249</v>
      </c>
      <c r="D6" t="s">
        <v>182</v>
      </c>
      <c r="E6" t="s">
        <v>183</v>
      </c>
      <c r="F6" t="s">
        <v>171</v>
      </c>
      <c r="G6" t="s">
        <v>23</v>
      </c>
      <c r="H6" t="s">
        <v>66</v>
      </c>
      <c r="I6" s="13">
        <v>46254</v>
      </c>
      <c r="K6">
        <f t="shared" ca="1" si="0"/>
        <v>51</v>
      </c>
      <c r="L6" t="s">
        <v>184</v>
      </c>
      <c r="M6" t="str">
        <f t="shared" ca="1" si="1"/>
        <v>Overdue</v>
      </c>
    </row>
    <row r="7" spans="1:13">
      <c r="A7" t="s">
        <v>185</v>
      </c>
      <c r="B7" t="s">
        <v>126</v>
      </c>
      <c r="C7" s="13">
        <v>46252</v>
      </c>
      <c r="D7" t="s">
        <v>186</v>
      </c>
      <c r="E7" t="s">
        <v>187</v>
      </c>
      <c r="F7" t="s">
        <v>188</v>
      </c>
      <c r="G7" t="s">
        <v>26</v>
      </c>
      <c r="H7" t="s">
        <v>166</v>
      </c>
      <c r="I7" s="13">
        <v>46253</v>
      </c>
      <c r="K7">
        <f t="shared" ca="1" si="0"/>
        <v>48</v>
      </c>
      <c r="L7" t="s">
        <v>189</v>
      </c>
      <c r="M7" t="str">
        <f t="shared" ca="1" si="1"/>
        <v>Overdue</v>
      </c>
    </row>
    <row r="8" spans="1:13">
      <c r="A8" t="s">
        <v>190</v>
      </c>
      <c r="B8" t="s">
        <v>126</v>
      </c>
      <c r="C8" s="13">
        <v>46256</v>
      </c>
      <c r="D8" t="s">
        <v>191</v>
      </c>
      <c r="E8" t="s">
        <v>192</v>
      </c>
      <c r="F8" t="s">
        <v>165</v>
      </c>
      <c r="G8" t="s">
        <v>23</v>
      </c>
      <c r="H8" t="s">
        <v>179</v>
      </c>
      <c r="I8" s="13">
        <v>46259</v>
      </c>
      <c r="J8" s="13">
        <v>46258</v>
      </c>
      <c r="K8">
        <f t="shared" ca="1" si="0"/>
        <v>2</v>
      </c>
      <c r="L8" t="s">
        <v>193</v>
      </c>
      <c r="M8" t="str">
        <f t="shared" ca="1" si="1"/>
        <v>On Track</v>
      </c>
    </row>
    <row r="9" spans="1:13">
      <c r="A9" t="s">
        <v>194</v>
      </c>
      <c r="B9" t="s">
        <v>126</v>
      </c>
      <c r="C9" s="13">
        <v>46259</v>
      </c>
      <c r="D9" t="s">
        <v>195</v>
      </c>
      <c r="E9" t="s">
        <v>196</v>
      </c>
      <c r="F9" t="s">
        <v>171</v>
      </c>
      <c r="G9" t="s">
        <v>26</v>
      </c>
      <c r="H9" t="s">
        <v>166</v>
      </c>
      <c r="I9" s="13">
        <v>46264</v>
      </c>
      <c r="K9">
        <f t="shared" ca="1" si="0"/>
        <v>41</v>
      </c>
      <c r="L9" t="s">
        <v>197</v>
      </c>
      <c r="M9" t="str">
        <f t="shared" ca="1" si="1"/>
        <v>Overdue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1314-33A7-4935-995C-1C577BCB4547}">
  <dimension ref="A1:M9"/>
  <sheetViews>
    <sheetView topLeftCell="F1" workbookViewId="0">
      <selection activeCell="H5" sqref="H5"/>
    </sheetView>
  </sheetViews>
  <sheetFormatPr defaultRowHeight="14.4"/>
  <cols>
    <col min="1" max="1" width="10" customWidth="1"/>
    <col min="2" max="2" width="14.44140625" customWidth="1"/>
    <col min="3" max="3" width="16.77734375" customWidth="1"/>
    <col min="4" max="4" width="17.6640625" customWidth="1"/>
    <col min="6" max="6" width="14.109375" customWidth="1"/>
    <col min="7" max="7" width="10.5546875" customWidth="1"/>
    <col min="8" max="8" width="17" customWidth="1"/>
    <col min="9" max="9" width="11.21875" customWidth="1"/>
    <col min="10" max="10" width="9" customWidth="1"/>
    <col min="11" max="12" width="14.5546875" customWidth="1"/>
    <col min="13" max="13" width="29.33203125" customWidth="1"/>
  </cols>
  <sheetData>
    <row r="1" spans="1:13">
      <c r="A1" t="s">
        <v>0</v>
      </c>
      <c r="B1" t="s">
        <v>206</v>
      </c>
      <c r="C1" t="s">
        <v>207</v>
      </c>
      <c r="D1" t="s">
        <v>208</v>
      </c>
      <c r="E1" t="s">
        <v>13</v>
      </c>
      <c r="F1" t="s">
        <v>14</v>
      </c>
      <c r="G1" t="s">
        <v>6</v>
      </c>
      <c r="H1" t="s">
        <v>209</v>
      </c>
      <c r="I1" t="s">
        <v>8</v>
      </c>
      <c r="J1" t="s">
        <v>12</v>
      </c>
      <c r="K1" t="s">
        <v>9</v>
      </c>
      <c r="L1" t="s">
        <v>97</v>
      </c>
      <c r="M1" t="s">
        <v>10</v>
      </c>
    </row>
    <row r="2" spans="1:13">
      <c r="A2" t="s">
        <v>108</v>
      </c>
      <c r="B2" t="s">
        <v>210</v>
      </c>
      <c r="C2" t="s">
        <v>211</v>
      </c>
      <c r="D2" t="s">
        <v>212</v>
      </c>
      <c r="E2" t="s">
        <v>42</v>
      </c>
      <c r="F2" s="13">
        <v>46235</v>
      </c>
      <c r="G2" s="13">
        <v>46239</v>
      </c>
      <c r="H2" s="13">
        <v>46239</v>
      </c>
      <c r="I2" t="s">
        <v>65</v>
      </c>
      <c r="J2" t="s">
        <v>165</v>
      </c>
      <c r="K2">
        <f ca="1">IF(I2="Completed", MAX(0,H2-G2),MAX(0,TODAY()-G2))</f>
        <v>0</v>
      </c>
      <c r="L2" t="str">
        <f>IF(OR(I2="Overdue",AND(I2="Completed",H2="")),"FAIL","PASS")</f>
        <v>PASS</v>
      </c>
      <c r="M2" t="s">
        <v>213</v>
      </c>
    </row>
    <row r="3" spans="1:13">
      <c r="A3" t="s">
        <v>108</v>
      </c>
      <c r="B3" t="s">
        <v>214</v>
      </c>
      <c r="C3" t="s">
        <v>118</v>
      </c>
      <c r="D3" t="s">
        <v>215</v>
      </c>
      <c r="E3" t="s">
        <v>23</v>
      </c>
      <c r="F3" s="13">
        <v>46237</v>
      </c>
      <c r="G3" s="13">
        <v>46244</v>
      </c>
      <c r="I3" t="s">
        <v>68</v>
      </c>
      <c r="J3" t="s">
        <v>188</v>
      </c>
      <c r="K3">
        <f t="shared" ref="K3:K9" ca="1" si="0">IF(I3="Completed", MAX(0,H3-G3),MAX(0,TODAY()-G3))</f>
        <v>56</v>
      </c>
      <c r="L3" t="str">
        <f t="shared" ref="L3:L9" si="1">IF(OR(I3="Overdue",AND(I3="Completed",H3="")),"FAIL","PASS")</f>
        <v>FAIL</v>
      </c>
      <c r="M3" t="s">
        <v>141</v>
      </c>
    </row>
    <row r="4" spans="1:13">
      <c r="A4" t="s">
        <v>108</v>
      </c>
      <c r="B4" t="s">
        <v>216</v>
      </c>
      <c r="C4" t="s">
        <v>53</v>
      </c>
      <c r="D4" t="s">
        <v>217</v>
      </c>
      <c r="E4" t="s">
        <v>21</v>
      </c>
      <c r="F4" s="13">
        <v>46239</v>
      </c>
      <c r="G4" s="13">
        <v>46246</v>
      </c>
      <c r="I4" t="s">
        <v>66</v>
      </c>
      <c r="J4" t="s">
        <v>165</v>
      </c>
      <c r="K4">
        <f t="shared" ca="1" si="0"/>
        <v>54</v>
      </c>
      <c r="L4" t="str">
        <f t="shared" si="1"/>
        <v>PASS</v>
      </c>
      <c r="M4" t="s">
        <v>218</v>
      </c>
    </row>
    <row r="5" spans="1:13">
      <c r="A5" t="s">
        <v>108</v>
      </c>
      <c r="B5" t="s">
        <v>219</v>
      </c>
      <c r="C5" t="s">
        <v>220</v>
      </c>
      <c r="D5" t="s">
        <v>221</v>
      </c>
      <c r="E5" t="s">
        <v>26</v>
      </c>
      <c r="F5" s="13">
        <v>46242</v>
      </c>
      <c r="G5" s="13">
        <v>46249</v>
      </c>
      <c r="H5" s="13">
        <v>46249</v>
      </c>
      <c r="I5" t="s">
        <v>65</v>
      </c>
      <c r="J5" t="s">
        <v>171</v>
      </c>
      <c r="K5">
        <f t="shared" ca="1" si="0"/>
        <v>0</v>
      </c>
      <c r="L5" t="str">
        <f t="shared" si="1"/>
        <v>PASS</v>
      </c>
      <c r="M5" t="s">
        <v>222</v>
      </c>
    </row>
    <row r="6" spans="1:13">
      <c r="A6" t="s">
        <v>126</v>
      </c>
      <c r="B6" t="s">
        <v>223</v>
      </c>
      <c r="C6" t="s">
        <v>211</v>
      </c>
      <c r="D6" t="s">
        <v>128</v>
      </c>
      <c r="E6" t="s">
        <v>42</v>
      </c>
      <c r="F6" s="13">
        <v>46249</v>
      </c>
      <c r="G6" s="13">
        <v>46256</v>
      </c>
      <c r="I6" t="s">
        <v>129</v>
      </c>
      <c r="J6" t="s">
        <v>165</v>
      </c>
      <c r="K6">
        <f t="shared" ca="1" si="0"/>
        <v>44</v>
      </c>
      <c r="L6" t="str">
        <f t="shared" si="1"/>
        <v>PASS</v>
      </c>
      <c r="M6" t="s">
        <v>130</v>
      </c>
    </row>
    <row r="7" spans="1:13">
      <c r="A7" t="s">
        <v>126</v>
      </c>
      <c r="B7" t="s">
        <v>224</v>
      </c>
      <c r="C7" t="s">
        <v>132</v>
      </c>
      <c r="D7" t="s">
        <v>133</v>
      </c>
      <c r="E7" t="s">
        <v>21</v>
      </c>
      <c r="F7" s="13">
        <v>46252</v>
      </c>
      <c r="G7" s="13">
        <v>46254</v>
      </c>
      <c r="H7" s="13">
        <v>46254</v>
      </c>
      <c r="I7" t="s">
        <v>65</v>
      </c>
      <c r="J7" t="s">
        <v>171</v>
      </c>
      <c r="K7">
        <f t="shared" ca="1" si="0"/>
        <v>0</v>
      </c>
      <c r="L7" t="str">
        <f t="shared" si="1"/>
        <v>PASS</v>
      </c>
      <c r="M7" t="s">
        <v>225</v>
      </c>
    </row>
    <row r="8" spans="1:13">
      <c r="A8" t="s">
        <v>126</v>
      </c>
      <c r="B8" t="s">
        <v>226</v>
      </c>
      <c r="C8" t="s">
        <v>220</v>
      </c>
      <c r="D8" t="s">
        <v>136</v>
      </c>
      <c r="E8" t="s">
        <v>26</v>
      </c>
      <c r="F8" s="13">
        <v>46254</v>
      </c>
      <c r="G8" s="13">
        <v>46259</v>
      </c>
      <c r="I8" t="s">
        <v>66</v>
      </c>
      <c r="J8" t="s">
        <v>165</v>
      </c>
      <c r="K8">
        <f t="shared" ca="1" si="0"/>
        <v>41</v>
      </c>
      <c r="L8" t="str">
        <f t="shared" si="1"/>
        <v>PASS</v>
      </c>
      <c r="M8" t="s">
        <v>227</v>
      </c>
    </row>
    <row r="9" spans="1:13">
      <c r="A9" t="s">
        <v>126</v>
      </c>
      <c r="B9" t="s">
        <v>228</v>
      </c>
      <c r="C9" t="s">
        <v>118</v>
      </c>
      <c r="D9" t="s">
        <v>140</v>
      </c>
      <c r="E9" t="s">
        <v>23</v>
      </c>
      <c r="F9" s="13">
        <v>46254</v>
      </c>
      <c r="G9" s="13">
        <v>46262</v>
      </c>
      <c r="I9" t="s">
        <v>68</v>
      </c>
      <c r="J9" t="s">
        <v>188</v>
      </c>
      <c r="K9">
        <f t="shared" ca="1" si="0"/>
        <v>38</v>
      </c>
      <c r="L9" t="str">
        <f t="shared" si="1"/>
        <v>FAIL</v>
      </c>
      <c r="M9" t="s">
        <v>229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F89C-0A65-4BFB-AB0B-B8229DD3E639}">
  <dimension ref="A1:I19"/>
  <sheetViews>
    <sheetView workbookViewId="0">
      <selection activeCell="B16" sqref="B16"/>
    </sheetView>
  </sheetViews>
  <sheetFormatPr defaultRowHeight="14.4"/>
  <cols>
    <col min="1" max="1" width="19.88671875" customWidth="1"/>
    <col min="2" max="2" width="20.21875" customWidth="1"/>
    <col min="3" max="3" width="16.77734375" customWidth="1"/>
    <col min="4" max="4" width="13.21875" customWidth="1"/>
    <col min="5" max="5" width="16.33203125" customWidth="1"/>
    <col min="6" max="6" width="17.44140625" customWidth="1"/>
    <col min="7" max="7" width="22.21875" customWidth="1"/>
    <col min="8" max="8" width="19.109375" customWidth="1"/>
    <col min="9" max="9" width="18" customWidth="1"/>
  </cols>
  <sheetData>
    <row r="1" spans="1:9">
      <c r="A1" s="3" t="s">
        <v>84</v>
      </c>
      <c r="B1" s="3" t="s">
        <v>85</v>
      </c>
    </row>
    <row r="2" spans="1:9" ht="30.6" customHeight="1">
      <c r="A2" s="1" t="s">
        <v>86</v>
      </c>
      <c r="B2" s="1">
        <f>COUNTIF(C12:C19,"Invalid Employee ID")</f>
        <v>0</v>
      </c>
    </row>
    <row r="3" spans="1:9" ht="20.399999999999999" customHeight="1">
      <c r="A3" s="1" t="s">
        <v>87</v>
      </c>
      <c r="B3" s="1">
        <f t="shared" ref="B3" si="0">COUNTIF(E12:E19,"Invalid Course ID")</f>
        <v>0</v>
      </c>
    </row>
    <row r="4" spans="1:9" ht="25.8" customHeight="1">
      <c r="A4" s="1" t="s">
        <v>88</v>
      </c>
      <c r="B4" s="1">
        <f>COUNTIF(F12:F19,"Missing Due Date")</f>
        <v>0</v>
      </c>
    </row>
    <row r="5" spans="1:9" ht="25.8" customHeight="1">
      <c r="A5" s="1" t="s">
        <v>89</v>
      </c>
      <c r="B5" s="1">
        <f>COUNTIF(G12:G19,"Invalid Date Sequence")</f>
        <v>0</v>
      </c>
    </row>
    <row r="6" spans="1:9" ht="45" customHeight="1">
      <c r="A6" s="1" t="s">
        <v>98</v>
      </c>
      <c r="B6" s="1">
        <f ca="1">COUNTIF(I12:I19,"FAIL")</f>
        <v>0</v>
      </c>
    </row>
    <row r="7" spans="1:9" ht="34.200000000000003" customHeight="1">
      <c r="A7" s="1" t="s">
        <v>99</v>
      </c>
      <c r="B7" s="1">
        <f ca="1">COUNTIF(I12:I19,"PASS")</f>
        <v>8</v>
      </c>
    </row>
    <row r="8" spans="1:9" ht="39" customHeight="1">
      <c r="A8" s="1" t="s">
        <v>90</v>
      </c>
      <c r="B8" s="1" t="str">
        <f ca="1">IF(B6=0,"PASS","REVIEW")</f>
        <v>PASS</v>
      </c>
    </row>
    <row r="9" spans="1:9" ht="24" customHeight="1">
      <c r="A9" s="1"/>
      <c r="B9" s="1"/>
    </row>
    <row r="11" spans="1:9">
      <c r="A11" s="8" t="s">
        <v>91</v>
      </c>
      <c r="B11" s="3" t="s">
        <v>34</v>
      </c>
      <c r="C11" s="3" t="s">
        <v>92</v>
      </c>
      <c r="D11" t="s">
        <v>44</v>
      </c>
      <c r="E11" t="s">
        <v>93</v>
      </c>
      <c r="F11" t="s">
        <v>94</v>
      </c>
      <c r="G11" t="s">
        <v>95</v>
      </c>
      <c r="H11" t="s">
        <v>96</v>
      </c>
      <c r="I11" t="s">
        <v>97</v>
      </c>
    </row>
    <row r="12" spans="1:9">
      <c r="A12" s="7">
        <v>2</v>
      </c>
      <c r="B12" s="1" t="str">
        <f>'Training Tracker'!B2</f>
        <v>EMP001</v>
      </c>
      <c r="C12" s="1" t="str">
        <f>IF(COUNTIF(Employees!$A:$A, TRIM(B12))&gt;0,"Valid","Invalid Employee ID")</f>
        <v>Valid</v>
      </c>
      <c r="D12" t="str">
        <f>'Training Tracker'!C2</f>
        <v>CRS001</v>
      </c>
      <c r="E12" t="str">
        <f>IF(COUNTIF('Courses'!$A:$A, TRIM(D12))&gt;0, "Valid","Invalid Course ID")</f>
        <v>Valid</v>
      </c>
      <c r="F12" t="str">
        <f>IF('Training Tracker'!J2="","Missing Due Date", "Valid")</f>
        <v>Valid</v>
      </c>
      <c r="G12" t="str">
        <f>IF(OR('Training Tracker'!I2="",'Training Tracker'!J2=""),"Check Missing Date",IF('Training Tracker'!J2&lt;'Training Tracker'!I2,"Invalid Date Sequence","Valid"))</f>
        <v>Valid</v>
      </c>
      <c r="H12" t="str">
        <f ca="1">IF('Training Tracker'!L2="Completed", IF('Training Tracker'!K2="","Completed Without Date","Valid"),"N/A")</f>
        <v>Valid</v>
      </c>
      <c r="I12" t="str">
        <f t="shared" ref="I12:I19" ca="1" si="1">IF(AND(C12="Valid",E12="Valid",F12="Valid", OR(G12="Valid", G12="Check Missing Date"), OR(H12="Valid",H12="N/A")),"PASS","FAIL")</f>
        <v>PASS</v>
      </c>
    </row>
    <row r="13" spans="1:9">
      <c r="A13" s="7">
        <v>3</v>
      </c>
      <c r="B13" s="1" t="str">
        <f>'Training Tracker'!B3</f>
        <v>EMP002</v>
      </c>
      <c r="C13" s="1" t="str">
        <f>IF(COUNTIF(Employees!$A:$A, TRIM(B13))&gt;0,"Valid","Invalid Employee ID")</f>
        <v>Valid</v>
      </c>
      <c r="D13" t="str">
        <f>'Training Tracker'!C3</f>
        <v>CRS002</v>
      </c>
      <c r="E13" t="str">
        <f>IF(COUNTIF('Courses'!$A:$A, TRIM(D13))&gt;0, "Valid","Invalid Course ID")</f>
        <v>Valid</v>
      </c>
      <c r="F13" t="str">
        <f>IF('Training Tracker'!J3="","Missing Due Date", "Valid")</f>
        <v>Valid</v>
      </c>
      <c r="G13" t="str">
        <f>IF(OR('Training Tracker'!I3="",'Training Tracker'!J3=""),"Check Missing Date",IF('Training Tracker'!J3&lt;'Training Tracker'!I3,"Invalid Date Sequence","Valid"))</f>
        <v>Valid</v>
      </c>
      <c r="H13" t="str">
        <f ca="1">IF('Training Tracker'!L3="Completed", IF('Training Tracker'!K3="","Completed Without Date","Valid"),"N/A")</f>
        <v>N/A</v>
      </c>
      <c r="I13" t="str">
        <f t="shared" ca="1" si="1"/>
        <v>PASS</v>
      </c>
    </row>
    <row r="14" spans="1:9">
      <c r="A14" s="7">
        <v>4</v>
      </c>
      <c r="B14" s="1" t="str">
        <f>'Training Tracker'!B4</f>
        <v>EMP003</v>
      </c>
      <c r="C14" s="1" t="str">
        <f>IF(COUNTIF(Employees!$A:$A, TRIM(B14))&gt;0,"Valid","Invalid Employee ID")</f>
        <v>Valid</v>
      </c>
      <c r="D14" t="str">
        <f>'Training Tracker'!C4</f>
        <v>CRS003</v>
      </c>
      <c r="E14" t="str">
        <f>IF(COUNTIF('Courses'!$A:$A, TRIM(D14))&gt;0, "Valid","Invalid Course ID")</f>
        <v>Valid</v>
      </c>
      <c r="F14" t="str">
        <f>IF('Training Tracker'!J4="","Missing Due Date", "Valid")</f>
        <v>Valid</v>
      </c>
      <c r="G14" t="str">
        <f>IF(OR('Training Tracker'!I4="",'Training Tracker'!J4=""),"Check Missing Date",IF('Training Tracker'!J4&lt;'Training Tracker'!I4,"Invalid Date Sequence","Valid"))</f>
        <v>Valid</v>
      </c>
      <c r="H14" t="str">
        <f ca="1">IF('Training Tracker'!L4="Completed", IF('Training Tracker'!K4="","Completed Without Date","Valid"),"N/A")</f>
        <v>Valid</v>
      </c>
      <c r="I14" t="str">
        <f t="shared" ca="1" si="1"/>
        <v>PASS</v>
      </c>
    </row>
    <row r="15" spans="1:9">
      <c r="A15" s="7">
        <v>5</v>
      </c>
      <c r="B15" s="1" t="str">
        <f>'Training Tracker'!B5</f>
        <v>EMP004</v>
      </c>
      <c r="C15" s="1" t="str">
        <f>IF(COUNTIF(Employees!$A:$A, TRIM(B15))&gt;0,"Valid","Invalid Employee ID")</f>
        <v>Valid</v>
      </c>
      <c r="D15" t="str">
        <f>'Training Tracker'!C5</f>
        <v>CRS004</v>
      </c>
      <c r="E15" t="str">
        <f>IF(COUNTIF('Courses'!$A:$A, TRIM(D15))&gt;0, "Valid","Invalid Course ID")</f>
        <v>Valid</v>
      </c>
      <c r="F15" t="str">
        <f>IF('Training Tracker'!J5="","Missing Due Date", "Valid")</f>
        <v>Valid</v>
      </c>
      <c r="G15" t="str">
        <f>IF(OR('Training Tracker'!I5="",'Training Tracker'!J5=""),"Check Missing Date",IF('Training Tracker'!J5&lt;'Training Tracker'!I5,"Invalid Date Sequence","Valid"))</f>
        <v>Valid</v>
      </c>
      <c r="H15" t="str">
        <f ca="1">IF('Training Tracker'!L5="Completed", IF('Training Tracker'!K5="","Completed Without Date","Valid"),"N/A")</f>
        <v>N/A</v>
      </c>
      <c r="I15" t="str">
        <f t="shared" ca="1" si="1"/>
        <v>PASS</v>
      </c>
    </row>
    <row r="16" spans="1:9">
      <c r="A16" s="7">
        <v>6</v>
      </c>
      <c r="B16" s="1" t="str">
        <f>'Training Tracker'!B6</f>
        <v>EMP001</v>
      </c>
      <c r="C16" s="1" t="str">
        <f>IF(COUNTIF(Employees!$A:$A, TRIM(B16))&gt;0,"Valid","Invalid Employee ID")</f>
        <v>Valid</v>
      </c>
      <c r="D16" t="str">
        <f>'Training Tracker'!C6</f>
        <v>CRS005</v>
      </c>
      <c r="E16" t="str">
        <f>IF(COUNTIF('Courses'!$A:$A, TRIM(D16))&gt;0, "Valid","Invalid Course ID")</f>
        <v>Valid</v>
      </c>
      <c r="F16" t="str">
        <f>IF('Training Tracker'!J6="","Missing Due Date", "Valid")</f>
        <v>Valid</v>
      </c>
      <c r="G16" t="str">
        <f>IF(OR('Training Tracker'!I6="",'Training Tracker'!J6=""),"Check Missing Date",IF('Training Tracker'!J6&lt;'Training Tracker'!I6,"Invalid Date Sequence","Valid"))</f>
        <v>Valid</v>
      </c>
      <c r="H16" t="str">
        <f ca="1">IF('Training Tracker'!L6="Completed", IF('Training Tracker'!K6="","Completed Without Date","Valid"),"N/A")</f>
        <v>Valid</v>
      </c>
      <c r="I16" t="str">
        <f t="shared" ca="1" si="1"/>
        <v>PASS</v>
      </c>
    </row>
    <row r="17" spans="1:9">
      <c r="A17" s="7">
        <v>7</v>
      </c>
      <c r="B17" s="1" t="str">
        <f>'Training Tracker'!B7</f>
        <v>EMP003</v>
      </c>
      <c r="C17" s="1" t="str">
        <f>IF(COUNTIF(Employees!$A:$A, TRIM(B17))&gt;0,"Valid","Invalid Employee ID")</f>
        <v>Valid</v>
      </c>
      <c r="D17" t="str">
        <f>'Training Tracker'!C7</f>
        <v>CRS006</v>
      </c>
      <c r="E17" t="str">
        <f>IF(COUNTIF('Courses'!$A:$A, TRIM(D17))&gt;0, "Valid","Invalid Course ID")</f>
        <v>Valid</v>
      </c>
      <c r="F17" t="str">
        <f>IF('Training Tracker'!J7="","Missing Due Date", "Valid")</f>
        <v>Valid</v>
      </c>
      <c r="G17" t="str">
        <f>IF(OR('Training Tracker'!I7="",'Training Tracker'!J7=""),"Check Missing Date",IF('Training Tracker'!J7&lt;'Training Tracker'!I7,"Invalid Date Sequence","Valid"))</f>
        <v>Valid</v>
      </c>
      <c r="H17" t="str">
        <f ca="1">IF('Training Tracker'!L7="Completed", IF('Training Tracker'!K7="","Completed Without Date","Valid"),"N/A")</f>
        <v>N/A</v>
      </c>
      <c r="I17" t="str">
        <f t="shared" ca="1" si="1"/>
        <v>PASS</v>
      </c>
    </row>
    <row r="18" spans="1:9">
      <c r="A18" s="7">
        <v>8</v>
      </c>
      <c r="B18" s="1" t="str">
        <f>'Training Tracker'!B8</f>
        <v>EMP002</v>
      </c>
      <c r="C18" s="1" t="str">
        <f>IF(COUNTIF(Employees!$A:$A, TRIM(B18))&gt;0,"Valid","Invalid Employee ID")</f>
        <v>Valid</v>
      </c>
      <c r="D18" t="str">
        <f>'Training Tracker'!C8</f>
        <v>CRS007</v>
      </c>
      <c r="E18" t="str">
        <f>IF(COUNTIF('Courses'!$A:$A, TRIM(D18))&gt;0, "Valid","Invalid Course ID")</f>
        <v>Valid</v>
      </c>
      <c r="F18" t="str">
        <f>IF('Training Tracker'!J8="","Missing Due Date", "Valid")</f>
        <v>Valid</v>
      </c>
      <c r="G18" t="str">
        <f>IF(OR('Training Tracker'!I8="",'Training Tracker'!J8=""),"Check Missing Date",IF('Training Tracker'!J8&lt;'Training Tracker'!I8,"Invalid Date Sequence","Valid"))</f>
        <v>Valid</v>
      </c>
      <c r="H18" t="str">
        <f ca="1">IF('Training Tracker'!L8="Completed", IF('Training Tracker'!K8="","Completed Without Date","Valid"),"N/A")</f>
        <v>Valid</v>
      </c>
      <c r="I18" t="str">
        <f t="shared" ca="1" si="1"/>
        <v>PASS</v>
      </c>
    </row>
    <row r="19" spans="1:9">
      <c r="A19" s="7">
        <v>9</v>
      </c>
      <c r="B19" s="1" t="str">
        <f>'Training Tracker'!B9</f>
        <v>EMP004</v>
      </c>
      <c r="C19" s="1" t="str">
        <f>IF(COUNTIF(Employees!$A:$A, TRIM(B19))&gt;0,"Valid","Invalid Employee ID")</f>
        <v>Valid</v>
      </c>
      <c r="D19" t="str">
        <f>'Training Tracker'!C9</f>
        <v>CRS008</v>
      </c>
      <c r="E19" t="str">
        <f>IF(COUNTIF('Courses'!$A:$A, TRIM(D19))&gt;0, "Valid","Invalid Course ID")</f>
        <v>Valid</v>
      </c>
      <c r="F19" t="str">
        <f>IF('Training Tracker'!J9="","Missing Due Date", "Valid")</f>
        <v>Valid</v>
      </c>
      <c r="G19" t="str">
        <f>IF(OR('Training Tracker'!I9="",'Training Tracker'!J9=""),"Check Missing Date",IF('Training Tracker'!J9&lt;'Training Tracker'!I9,"Invalid Date Sequence","Valid"))</f>
        <v>Valid</v>
      </c>
      <c r="H19" t="str">
        <f ca="1">IF('Training Tracker'!L9="Completed", IF('Training Tracker'!K9="","Completed Without Date","Valid"),"N/A")</f>
        <v>N/A</v>
      </c>
      <c r="I19" t="str">
        <f t="shared" ca="1" si="1"/>
        <v>PASS</v>
      </c>
    </row>
  </sheetData>
  <conditionalFormatting sqref="B8">
    <cfRule type="containsText" dxfId="6" priority="1" operator="containsText" text="REVIEW">
      <formula>NOT(ISERROR(SEARCH("REVIEW",B8)))</formula>
    </cfRule>
    <cfRule type="containsText" dxfId="5" priority="2" operator="containsText" text="PASS">
      <formula>NOT(ISERROR(SEARCH("PASS",B8)))</formula>
    </cfRule>
  </conditionalFormatting>
  <conditionalFormatting sqref="I12:I19">
    <cfRule type="containsText" dxfId="4" priority="3" operator="containsText" text="PASS">
      <formula>NOT(ISERROR(SEARCH("PASS",I12)))</formula>
    </cfRule>
    <cfRule type="containsText" dxfId="3" priority="4" operator="containsText" text="FAIL">
      <formula>NOT(ISERROR(SEARCH("FAIL",I12)))</formula>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ED58-B2E0-42B3-910B-B77DFF536431}">
  <dimension ref="A1:B7"/>
  <sheetViews>
    <sheetView workbookViewId="0">
      <selection activeCell="A3" sqref="A3"/>
    </sheetView>
  </sheetViews>
  <sheetFormatPr defaultRowHeight="14.4"/>
  <cols>
    <col min="1" max="1" width="27.44140625" customWidth="1"/>
    <col min="2" max="2" width="20.21875" customWidth="1"/>
  </cols>
  <sheetData>
    <row r="1" spans="1:2">
      <c r="A1" s="3" t="s">
        <v>84</v>
      </c>
      <c r="B1" s="3" t="s">
        <v>85</v>
      </c>
    </row>
    <row r="2" spans="1:2">
      <c r="A2" s="1" t="s">
        <v>143</v>
      </c>
      <c r="B2" s="1">
        <f>COUNTIF('TMF Document Tracker'!B2:B9,"")</f>
        <v>0</v>
      </c>
    </row>
    <row r="3" spans="1:2">
      <c r="A3" s="1" t="s">
        <v>144</v>
      </c>
      <c r="B3" s="1">
        <f>COUNTIF('TMF Document Tracker'!E2:E9,"")</f>
        <v>0</v>
      </c>
    </row>
    <row r="4" spans="1:2">
      <c r="A4" s="1" t="s">
        <v>145</v>
      </c>
      <c r="B4" s="1">
        <f>COUNTIF('TMF Document Tracker'!J2:J9,"")</f>
        <v>0</v>
      </c>
    </row>
    <row r="5" spans="1:2">
      <c r="A5" s="1" t="s">
        <v>89</v>
      </c>
      <c r="B5" s="1">
        <f>SUMPRODUCT(--('TMF Document Tracker'!J2:J9&lt;'TMF Document Tracker'!I2:I9))</f>
        <v>0</v>
      </c>
    </row>
    <row r="6" spans="1:2">
      <c r="A6" s="1" t="s">
        <v>146</v>
      </c>
      <c r="B6" s="1">
        <f>COUNTIF('TMF Document Tracker'!K2:K9,"Failed")</f>
        <v>1</v>
      </c>
    </row>
    <row r="7" spans="1:2">
      <c r="A7" s="1" t="s">
        <v>147</v>
      </c>
      <c r="B7" s="1">
        <f ca="1">COUNTIF('TMF Document Tracker'!2:9,"Fail")</f>
        <v>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7643-6BA1-45E4-99CF-B580A5B1E06C}">
  <dimension ref="A1:B9"/>
  <sheetViews>
    <sheetView workbookViewId="0">
      <selection activeCell="B9" sqref="B9"/>
    </sheetView>
  </sheetViews>
  <sheetFormatPr defaultRowHeight="14.4"/>
  <cols>
    <col min="1" max="1" width="29.6640625" customWidth="1"/>
    <col min="2" max="2" width="23.88671875" customWidth="1"/>
  </cols>
  <sheetData>
    <row r="1" spans="1:2">
      <c r="A1" s="3" t="s">
        <v>64</v>
      </c>
      <c r="B1" s="3" t="s">
        <v>70</v>
      </c>
    </row>
    <row r="2" spans="1:2">
      <c r="A2" s="1" t="s">
        <v>71</v>
      </c>
      <c r="B2" s="1">
        <f>SUM('Training Tracker'!G2:G9)</f>
        <v>25</v>
      </c>
    </row>
    <row r="3" spans="1:2">
      <c r="A3" s="1" t="s">
        <v>72</v>
      </c>
      <c r="B3" s="1">
        <f ca="1">SUMIFS('Training Tracker'!G2:G9,'Training Tracker'!L2:L9,"Completed")</f>
        <v>15</v>
      </c>
    </row>
    <row r="4" spans="1:2">
      <c r="A4" s="1" t="s">
        <v>73</v>
      </c>
      <c r="B4" s="1">
        <f>SUMIFS('Training Tracker'!G2:G9,'Training Tracker'!H2:H9,"Yes")</f>
        <v>23</v>
      </c>
    </row>
    <row r="5" spans="1:2">
      <c r="A5" s="1" t="s">
        <v>74</v>
      </c>
      <c r="B5" s="1">
        <f ca="1">SUMIFS('Training Tracker'!G2:G9,'Training Tracker'!L2:L9,"Overdue")</f>
        <v>10</v>
      </c>
    </row>
    <row r="6" spans="1:2" ht="28.8">
      <c r="A6" s="1" t="s">
        <v>75</v>
      </c>
      <c r="B6" s="4">
        <f ca="1">SUMIFS('Training Tracker'!G2:G9,'Training Tracker'!H2:H9,"Yes",'Training Tracker'!L2:L9,"Completed")</f>
        <v>15</v>
      </c>
    </row>
    <row r="7" spans="1:2">
      <c r="A7" s="1" t="s">
        <v>76</v>
      </c>
      <c r="B7" s="4">
        <f ca="1">SUMIFS('Training Tracker'!G2:G9,'Training Tracker'!H2:H9,"Yes",'Training Tracker'!L2:L9,"Overdue")</f>
        <v>8</v>
      </c>
    </row>
    <row r="8" spans="1:2">
      <c r="A8" s="1" t="s">
        <v>77</v>
      </c>
      <c r="B8" s="4">
        <f ca="1">COUNTIFS('Training Tracker'!L2:L9,"Completed")</f>
        <v>4</v>
      </c>
    </row>
    <row r="9" spans="1:2">
      <c r="A9" s="1" t="s">
        <v>78</v>
      </c>
      <c r="B9" s="4">
        <f ca="1">COUNTIFS('Training Tracker'!H2:H9,"Yes", 'Training Tracker'!L2:L9,"Overdue")</f>
        <v>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0B8C5-B233-4D22-8262-453868CFDAB3}">
  <dimension ref="A1:B9"/>
  <sheetViews>
    <sheetView workbookViewId="0">
      <selection activeCell="G12" sqref="G12"/>
    </sheetView>
  </sheetViews>
  <sheetFormatPr defaultRowHeight="14.4"/>
  <cols>
    <col min="1" max="1" width="17.88671875" customWidth="1"/>
    <col min="2" max="2" width="17.33203125" customWidth="1"/>
  </cols>
  <sheetData>
    <row r="1" spans="1:2">
      <c r="A1" s="3" t="s">
        <v>64</v>
      </c>
      <c r="B1" s="3" t="s">
        <v>85</v>
      </c>
    </row>
    <row r="2" spans="1:2">
      <c r="A2" s="1" t="s">
        <v>148</v>
      </c>
      <c r="B2" s="7">
        <f>COUNTA('TMF Document Tracker'!B2:B9)</f>
        <v>8</v>
      </c>
    </row>
    <row r="3" spans="1:2" ht="28.8">
      <c r="A3" s="1" t="s">
        <v>149</v>
      </c>
      <c r="B3" s="7">
        <f>COUNTIF('TMF Document Tracker'!G2:G9,"Approved")</f>
        <v>4</v>
      </c>
    </row>
    <row r="4" spans="1:2">
      <c r="A4" s="1" t="s">
        <v>150</v>
      </c>
      <c r="B4" s="7">
        <f>COUNTIF('TMF Document Tracker'!G2:G9,"Overdue")</f>
        <v>1</v>
      </c>
    </row>
    <row r="5" spans="1:2" ht="28.8">
      <c r="A5" s="1" t="s">
        <v>151</v>
      </c>
      <c r="B5" s="7">
        <f>COUNTIF('TMF Document Tracker'!G2:G9,"Pending QC")</f>
        <v>2</v>
      </c>
    </row>
    <row r="6" spans="1:2" ht="28.8">
      <c r="A6" s="1" t="s">
        <v>152</v>
      </c>
      <c r="B6" s="7">
        <f>COUNTIF('TMF Document Tracker'!K2:K9,"Failed")</f>
        <v>1</v>
      </c>
    </row>
    <row r="7" spans="1:2" ht="28.8">
      <c r="A7" s="1" t="s">
        <v>153</v>
      </c>
      <c r="B7" s="7">
        <f ca="1">COUNTIF('TMF Document Tracker'!2:9,"PASS")</f>
        <v>4</v>
      </c>
    </row>
    <row r="8" spans="1:2" ht="28.8">
      <c r="A8" s="1" t="s">
        <v>154</v>
      </c>
      <c r="B8" s="7">
        <f ca="1">COUNTIF('TMF Document Tracker'!M2:M9,"In Progress")</f>
        <v>0</v>
      </c>
    </row>
    <row r="9" spans="1:2" ht="28.8">
      <c r="A9" s="1" t="s">
        <v>155</v>
      </c>
      <c r="B9" s="7">
        <f ca="1">COUNTIF('TMF Document Tracker'!M2:M9,"Not Started")</f>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8123-0749-400D-B4BA-A29C28203636}">
  <dimension ref="A1:B8"/>
  <sheetViews>
    <sheetView workbookViewId="0">
      <selection activeCell="A4" sqref="A4"/>
    </sheetView>
  </sheetViews>
  <sheetFormatPr defaultRowHeight="14.4"/>
  <cols>
    <col min="1" max="1" width="15.88671875" customWidth="1"/>
    <col min="2" max="2" width="17.5546875" customWidth="1"/>
  </cols>
  <sheetData>
    <row r="1" spans="1:2">
      <c r="A1" s="3" t="s">
        <v>64</v>
      </c>
      <c r="B1" s="8" t="s">
        <v>85</v>
      </c>
    </row>
    <row r="2" spans="1:2">
      <c r="A2" s="1" t="s">
        <v>199</v>
      </c>
      <c r="B2" s="7">
        <f>COUNTA('Issue Log'!A2:A9)</f>
        <v>8</v>
      </c>
    </row>
    <row r="3" spans="1:2">
      <c r="A3" s="1" t="s">
        <v>200</v>
      </c>
      <c r="B3" s="7">
        <f>COUNTIF('Issue Log'!H2:H9,"Open")</f>
        <v>4</v>
      </c>
    </row>
    <row r="4" spans="1:2">
      <c r="A4" s="1" t="s">
        <v>201</v>
      </c>
      <c r="B4" s="7">
        <f>COUNTIF('Issue Log'!H2:H9,"In Progress")</f>
        <v>2</v>
      </c>
    </row>
    <row r="5" spans="1:2">
      <c r="A5" s="1" t="s">
        <v>202</v>
      </c>
      <c r="B5" s="7">
        <f>COUNTIF('Issue Log'!H2:H9,"Resolved")</f>
        <v>2</v>
      </c>
    </row>
    <row r="6" spans="1:2">
      <c r="A6" s="1" t="s">
        <v>203</v>
      </c>
      <c r="B6" s="7">
        <f>COUNTIF('Issue Log'!F2:F9,"Critical")</f>
        <v>1</v>
      </c>
    </row>
    <row r="7" spans="1:2" ht="28.8">
      <c r="A7" s="1" t="s">
        <v>204</v>
      </c>
      <c r="B7" s="7">
        <f>COUNTIF('Issue Log'!F2:F9,"High")</f>
        <v>4</v>
      </c>
    </row>
    <row r="8" spans="1:2">
      <c r="A8" s="1" t="s">
        <v>205</v>
      </c>
      <c r="B8" s="7">
        <f ca="1">COUNTIF('Issue Log'!M2:M9,"Overdue")</f>
        <v>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1343-65AD-4D5F-9848-5B1B63F1E0AE}">
  <dimension ref="A1:B9"/>
  <sheetViews>
    <sheetView workbookViewId="0">
      <selection activeCell="A3" sqref="A3"/>
    </sheetView>
  </sheetViews>
  <sheetFormatPr defaultRowHeight="14.4"/>
  <cols>
    <col min="1" max="1" width="18.88671875" customWidth="1"/>
    <col min="2" max="2" width="13.5546875" customWidth="1"/>
  </cols>
  <sheetData>
    <row r="1" spans="1:2">
      <c r="A1" s="3" t="s">
        <v>64</v>
      </c>
      <c r="B1" s="8" t="s">
        <v>85</v>
      </c>
    </row>
    <row r="2" spans="1:2">
      <c r="A2" s="1" t="s">
        <v>230</v>
      </c>
      <c r="B2" s="7">
        <f>COUNTA('Deliverables and Milestones'!B2:B9)</f>
        <v>8</v>
      </c>
    </row>
    <row r="3" spans="1:2" ht="28.8">
      <c r="A3" s="1" t="s">
        <v>231</v>
      </c>
      <c r="B3" s="7">
        <f>COUNTIF('Deliverables and Milestones'!I2:I9,"Completed")</f>
        <v>3</v>
      </c>
    </row>
    <row r="4" spans="1:2">
      <c r="A4" s="1" t="s">
        <v>232</v>
      </c>
      <c r="B4" s="7">
        <f>COUNTIF('Deliverables and Milestones'!I2:I9,"Overdue")</f>
        <v>2</v>
      </c>
    </row>
    <row r="5" spans="1:2" ht="28.8">
      <c r="A5" s="1" t="s">
        <v>233</v>
      </c>
      <c r="B5" s="7">
        <f>COUNTIF('Deliverables and Milestones'!I2:I9,"In Progress")</f>
        <v>2</v>
      </c>
    </row>
    <row r="6" spans="1:2">
      <c r="A6" s="1" t="s">
        <v>234</v>
      </c>
      <c r="B6" s="7">
        <f>COUNTIF('Deliverables and Milestones'!J2:J9,"Draft")</f>
        <v>0</v>
      </c>
    </row>
    <row r="7" spans="1:2">
      <c r="A7" s="1" t="s">
        <v>235</v>
      </c>
      <c r="B7" s="7">
        <f>COUNTIF('Deliverables and Milestones'!J2:J9,"Critical")</f>
        <v>2</v>
      </c>
    </row>
    <row r="8" spans="1:2" ht="28.8">
      <c r="A8" s="1" t="s">
        <v>236</v>
      </c>
      <c r="B8" s="7">
        <f>COUNTIF('Deliverables and Milestones'!J2:J9,"High")</f>
        <v>4</v>
      </c>
    </row>
    <row r="9" spans="1:2">
      <c r="A9" s="1" t="s">
        <v>237</v>
      </c>
      <c r="B9" s="7">
        <f>COUNTIF('Deliverables and Milestones'!L2:L9,"FAIL")</f>
        <v>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FBAB-7EB4-4CB4-908C-C93CED5FBF43}">
  <dimension ref="A3:D9"/>
  <sheetViews>
    <sheetView workbookViewId="0">
      <selection activeCell="I20" sqref="I20"/>
    </sheetView>
  </sheetViews>
  <sheetFormatPr defaultRowHeight="14.4"/>
  <cols>
    <col min="1" max="1" width="21.33203125" bestFit="1" customWidth="1"/>
    <col min="2" max="2" width="15.5546875" bestFit="1" customWidth="1"/>
    <col min="3" max="3" width="8.21875" bestFit="1" customWidth="1"/>
    <col min="4" max="5" width="10.77734375" bestFit="1" customWidth="1"/>
  </cols>
  <sheetData>
    <row r="3" spans="1:4">
      <c r="A3" s="5" t="s">
        <v>82</v>
      </c>
      <c r="B3" s="5" t="s">
        <v>81</v>
      </c>
    </row>
    <row r="4" spans="1:4">
      <c r="A4" s="5" t="s">
        <v>79</v>
      </c>
      <c r="B4" t="s">
        <v>65</v>
      </c>
      <c r="C4" t="s">
        <v>68</v>
      </c>
      <c r="D4" t="s">
        <v>80</v>
      </c>
    </row>
    <row r="5" spans="1:4">
      <c r="A5" s="6" t="s">
        <v>42</v>
      </c>
      <c r="B5" s="20">
        <v>2</v>
      </c>
      <c r="C5" s="20"/>
      <c r="D5" s="20">
        <v>2</v>
      </c>
    </row>
    <row r="6" spans="1:4">
      <c r="A6" s="6" t="s">
        <v>23</v>
      </c>
      <c r="B6" s="20">
        <v>1</v>
      </c>
      <c r="C6" s="20">
        <v>1</v>
      </c>
      <c r="D6" s="20">
        <v>2</v>
      </c>
    </row>
    <row r="7" spans="1:4">
      <c r="A7" s="6" t="s">
        <v>21</v>
      </c>
      <c r="B7" s="20">
        <v>1</v>
      </c>
      <c r="C7" s="20">
        <v>1</v>
      </c>
      <c r="D7" s="20">
        <v>2</v>
      </c>
    </row>
    <row r="8" spans="1:4">
      <c r="A8" s="6" t="s">
        <v>26</v>
      </c>
      <c r="B8" s="20"/>
      <c r="C8" s="20">
        <v>2</v>
      </c>
      <c r="D8" s="20">
        <v>2</v>
      </c>
    </row>
    <row r="9" spans="1:4">
      <c r="A9" s="6" t="s">
        <v>80</v>
      </c>
      <c r="B9" s="20">
        <v>4</v>
      </c>
      <c r="C9" s="20">
        <v>4</v>
      </c>
      <c r="D9" s="20">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6DF7-2C73-4081-8EE5-B38851CF377E}">
  <dimension ref="A3:D9"/>
  <sheetViews>
    <sheetView workbookViewId="0">
      <selection activeCell="B16" sqref="B16"/>
    </sheetView>
  </sheetViews>
  <sheetFormatPr defaultRowHeight="14.4"/>
  <cols>
    <col min="1" max="1" width="28.88671875" bestFit="1" customWidth="1"/>
    <col min="2" max="2" width="15.5546875" bestFit="1" customWidth="1"/>
    <col min="3" max="3" width="8.21875" bestFit="1" customWidth="1"/>
    <col min="4" max="5" width="10.77734375" bestFit="1" customWidth="1"/>
    <col min="6" max="6" width="15" bestFit="1" customWidth="1"/>
    <col min="7" max="7" width="18.88671875" bestFit="1" customWidth="1"/>
    <col min="8" max="8" width="18.33203125" bestFit="1" customWidth="1"/>
    <col min="9" max="9" width="21.77734375" bestFit="1" customWidth="1"/>
    <col min="10" max="10" width="15.44140625" bestFit="1" customWidth="1"/>
    <col min="11" max="11" width="12.88671875" bestFit="1" customWidth="1"/>
    <col min="12" max="12" width="9" bestFit="1" customWidth="1"/>
    <col min="13" max="13" width="11.6640625" bestFit="1" customWidth="1"/>
    <col min="14" max="14" width="10.77734375" bestFit="1" customWidth="1"/>
  </cols>
  <sheetData>
    <row r="3" spans="1:4">
      <c r="A3" s="5" t="s">
        <v>82</v>
      </c>
      <c r="B3" s="5" t="s">
        <v>81</v>
      </c>
    </row>
    <row r="4" spans="1:4">
      <c r="A4" s="5" t="s">
        <v>79</v>
      </c>
      <c r="B4" t="s">
        <v>65</v>
      </c>
      <c r="C4" t="s">
        <v>68</v>
      </c>
      <c r="D4" t="s">
        <v>80</v>
      </c>
    </row>
    <row r="5" spans="1:4">
      <c r="A5" s="6" t="s">
        <v>19</v>
      </c>
      <c r="B5" s="20">
        <v>1</v>
      </c>
      <c r="C5" s="20">
        <v>1</v>
      </c>
      <c r="D5" s="20">
        <v>2</v>
      </c>
    </row>
    <row r="6" spans="1:4">
      <c r="A6" s="6" t="s">
        <v>24</v>
      </c>
      <c r="B6" s="20">
        <v>1</v>
      </c>
      <c r="C6" s="20">
        <v>1</v>
      </c>
      <c r="D6" s="20">
        <v>2</v>
      </c>
    </row>
    <row r="7" spans="1:4">
      <c r="A7" s="6" t="s">
        <v>251</v>
      </c>
      <c r="B7" s="20"/>
      <c r="C7" s="20">
        <v>2</v>
      </c>
      <c r="D7" s="20">
        <v>2</v>
      </c>
    </row>
    <row r="8" spans="1:4">
      <c r="A8" s="6" t="s">
        <v>43</v>
      </c>
      <c r="B8" s="20">
        <v>2</v>
      </c>
      <c r="C8" s="20"/>
      <c r="D8" s="20">
        <v>2</v>
      </c>
    </row>
    <row r="9" spans="1:4">
      <c r="A9" s="6" t="s">
        <v>80</v>
      </c>
      <c r="B9" s="20">
        <v>4</v>
      </c>
      <c r="C9" s="20">
        <v>4</v>
      </c>
      <c r="D9" s="20">
        <v>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407F-C3C8-4029-82E3-EEAF53E95EC4}">
  <dimension ref="A3:D13"/>
  <sheetViews>
    <sheetView workbookViewId="0">
      <selection activeCell="F16" sqref="F16"/>
    </sheetView>
  </sheetViews>
  <sheetFormatPr defaultRowHeight="14.4"/>
  <cols>
    <col min="1" max="1" width="25" bestFit="1" customWidth="1"/>
    <col min="2" max="2" width="15.5546875" bestFit="1" customWidth="1"/>
    <col min="3" max="3" width="8.21875" bestFit="1" customWidth="1"/>
    <col min="4" max="5" width="10.77734375" bestFit="1" customWidth="1"/>
  </cols>
  <sheetData>
    <row r="3" spans="1:4">
      <c r="A3" s="5" t="s">
        <v>82</v>
      </c>
      <c r="B3" s="5" t="s">
        <v>81</v>
      </c>
    </row>
    <row r="4" spans="1:4">
      <c r="A4" s="5" t="s">
        <v>79</v>
      </c>
      <c r="B4" t="s">
        <v>65</v>
      </c>
      <c r="C4" t="s">
        <v>68</v>
      </c>
      <c r="D4" t="s">
        <v>80</v>
      </c>
    </row>
    <row r="5" spans="1:4">
      <c r="A5" s="6" t="s">
        <v>31</v>
      </c>
      <c r="B5" s="20"/>
      <c r="C5" s="20">
        <v>1</v>
      </c>
      <c r="D5" s="20">
        <v>1</v>
      </c>
    </row>
    <row r="6" spans="1:4">
      <c r="A6" s="6" t="s">
        <v>27</v>
      </c>
      <c r="B6" s="20"/>
      <c r="C6" s="20">
        <v>1</v>
      </c>
      <c r="D6" s="20">
        <v>1</v>
      </c>
    </row>
    <row r="7" spans="1:4">
      <c r="A7" s="6" t="s">
        <v>20</v>
      </c>
      <c r="B7" s="20">
        <v>1</v>
      </c>
      <c r="C7" s="20"/>
      <c r="D7" s="20">
        <v>1</v>
      </c>
    </row>
    <row r="8" spans="1:4">
      <c r="A8" s="6" t="s">
        <v>29</v>
      </c>
      <c r="B8" s="20"/>
      <c r="C8" s="20">
        <v>1</v>
      </c>
      <c r="D8" s="20">
        <v>1</v>
      </c>
    </row>
    <row r="9" spans="1:4">
      <c r="A9" s="6" t="s">
        <v>30</v>
      </c>
      <c r="B9" s="20">
        <v>1</v>
      </c>
      <c r="C9" s="20"/>
      <c r="D9" s="20">
        <v>1</v>
      </c>
    </row>
    <row r="10" spans="1:4">
      <c r="A10" s="6" t="s">
        <v>22</v>
      </c>
      <c r="B10" s="20"/>
      <c r="C10" s="20">
        <v>1</v>
      </c>
      <c r="D10" s="20">
        <v>1</v>
      </c>
    </row>
    <row r="11" spans="1:4">
      <c r="A11" s="6" t="s">
        <v>28</v>
      </c>
      <c r="B11" s="20">
        <v>1</v>
      </c>
      <c r="C11" s="20"/>
      <c r="D11" s="20">
        <v>1</v>
      </c>
    </row>
    <row r="12" spans="1:4">
      <c r="A12" s="6" t="s">
        <v>25</v>
      </c>
      <c r="B12" s="20">
        <v>1</v>
      </c>
      <c r="C12" s="20"/>
      <c r="D12" s="20">
        <v>1</v>
      </c>
    </row>
    <row r="13" spans="1:4">
      <c r="A13" s="6" t="s">
        <v>80</v>
      </c>
      <c r="B13" s="20">
        <v>4</v>
      </c>
      <c r="C13" s="20">
        <v>4</v>
      </c>
      <c r="D13" s="20">
        <v>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3E596-F760-4F42-B8A3-F22603622346}">
  <dimension ref="A3:D9"/>
  <sheetViews>
    <sheetView workbookViewId="0">
      <selection activeCell="B5" sqref="B5"/>
    </sheetView>
  </sheetViews>
  <sheetFormatPr defaultRowHeight="14.4"/>
  <cols>
    <col min="1" max="1" width="19.77734375" bestFit="1" customWidth="1"/>
    <col min="2" max="2" width="15.5546875" bestFit="1" customWidth="1"/>
    <col min="3" max="3" width="8.21875" bestFit="1" customWidth="1"/>
    <col min="4" max="5" width="10.77734375" bestFit="1" customWidth="1"/>
  </cols>
  <sheetData>
    <row r="3" spans="1:4">
      <c r="A3" s="5" t="s">
        <v>83</v>
      </c>
      <c r="B3" s="5" t="s">
        <v>81</v>
      </c>
    </row>
    <row r="4" spans="1:4">
      <c r="A4" s="5" t="s">
        <v>79</v>
      </c>
      <c r="B4" t="s">
        <v>65</v>
      </c>
      <c r="C4" t="s">
        <v>68</v>
      </c>
      <c r="D4" t="s">
        <v>80</v>
      </c>
    </row>
    <row r="5" spans="1:4">
      <c r="A5" s="6" t="s">
        <v>42</v>
      </c>
      <c r="B5" s="20">
        <v>8</v>
      </c>
      <c r="C5" s="20"/>
      <c r="D5" s="20">
        <v>8</v>
      </c>
    </row>
    <row r="6" spans="1:4">
      <c r="A6" s="6" t="s">
        <v>23</v>
      </c>
      <c r="B6" s="20">
        <v>2</v>
      </c>
      <c r="C6" s="20">
        <v>2</v>
      </c>
      <c r="D6" s="20">
        <v>4</v>
      </c>
    </row>
    <row r="7" spans="1:4">
      <c r="A7" s="6" t="s">
        <v>21</v>
      </c>
      <c r="B7" s="20">
        <v>5</v>
      </c>
      <c r="C7" s="20">
        <v>3</v>
      </c>
      <c r="D7" s="20">
        <v>8</v>
      </c>
    </row>
    <row r="8" spans="1:4">
      <c r="A8" s="6" t="s">
        <v>26</v>
      </c>
      <c r="B8" s="20"/>
      <c r="C8" s="20">
        <v>5</v>
      </c>
      <c r="D8" s="20">
        <v>5</v>
      </c>
    </row>
    <row r="9" spans="1:4">
      <c r="A9" s="6" t="s">
        <v>80</v>
      </c>
      <c r="B9" s="20">
        <v>15</v>
      </c>
      <c r="C9" s="20">
        <v>10</v>
      </c>
      <c r="D9" s="20">
        <v>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91B9-0406-4E15-96A6-FDE7972DAB00}">
  <dimension ref="A3:G9"/>
  <sheetViews>
    <sheetView workbookViewId="0">
      <selection activeCell="A3" sqref="A3"/>
    </sheetView>
  </sheetViews>
  <sheetFormatPr defaultRowHeight="14.4"/>
  <cols>
    <col min="1" max="1" width="20" bestFit="1" customWidth="1"/>
    <col min="2" max="2" width="16.77734375" bestFit="1" customWidth="1"/>
    <col min="3" max="3" width="10.109375" bestFit="1" customWidth="1"/>
    <col min="4" max="4" width="6.33203125" bestFit="1" customWidth="1"/>
    <col min="5" max="5" width="16" bestFit="1" customWidth="1"/>
    <col min="6" max="6" width="16.44140625" bestFit="1" customWidth="1"/>
    <col min="7" max="7" width="10.77734375" bestFit="1" customWidth="1"/>
  </cols>
  <sheetData>
    <row r="3" spans="1:7">
      <c r="A3" s="5" t="s">
        <v>156</v>
      </c>
      <c r="B3" s="5" t="s">
        <v>81</v>
      </c>
    </row>
    <row r="4" spans="1:7">
      <c r="A4" s="5" t="s">
        <v>79</v>
      </c>
      <c r="B4" t="s">
        <v>41</v>
      </c>
      <c r="C4" t="s">
        <v>118</v>
      </c>
      <c r="D4" t="s">
        <v>57</v>
      </c>
      <c r="E4" t="s">
        <v>132</v>
      </c>
      <c r="F4" t="s">
        <v>110</v>
      </c>
      <c r="G4" t="s">
        <v>80</v>
      </c>
    </row>
    <row r="5" spans="1:7">
      <c r="A5" s="6" t="s">
        <v>112</v>
      </c>
      <c r="B5" s="20"/>
      <c r="C5" s="20"/>
      <c r="D5" s="20">
        <v>1</v>
      </c>
      <c r="E5" s="20">
        <v>1</v>
      </c>
      <c r="F5" s="20">
        <v>2</v>
      </c>
      <c r="G5" s="20">
        <v>4</v>
      </c>
    </row>
    <row r="6" spans="1:7">
      <c r="A6" s="6" t="s">
        <v>129</v>
      </c>
      <c r="B6" s="20"/>
      <c r="C6" s="20"/>
      <c r="D6" s="20"/>
      <c r="E6" s="20"/>
      <c r="F6" s="20">
        <v>1</v>
      </c>
      <c r="G6" s="20">
        <v>1</v>
      </c>
    </row>
    <row r="7" spans="1:7">
      <c r="A7" s="6" t="s">
        <v>68</v>
      </c>
      <c r="B7" s="20"/>
      <c r="C7" s="20">
        <v>1</v>
      </c>
      <c r="D7" s="20"/>
      <c r="E7" s="20"/>
      <c r="F7" s="20"/>
      <c r="G7" s="20">
        <v>1</v>
      </c>
    </row>
    <row r="8" spans="1:7">
      <c r="A8" s="6" t="s">
        <v>120</v>
      </c>
      <c r="B8" s="20">
        <v>1</v>
      </c>
      <c r="C8" s="20">
        <v>1</v>
      </c>
      <c r="D8" s="20"/>
      <c r="E8" s="20"/>
      <c r="F8" s="20"/>
      <c r="G8" s="20">
        <v>2</v>
      </c>
    </row>
    <row r="9" spans="1:7">
      <c r="A9" s="6" t="s">
        <v>80</v>
      </c>
      <c r="B9" s="20">
        <v>1</v>
      </c>
      <c r="C9" s="20">
        <v>2</v>
      </c>
      <c r="D9" s="20">
        <v>1</v>
      </c>
      <c r="E9" s="20">
        <v>1</v>
      </c>
      <c r="F9" s="20">
        <v>3</v>
      </c>
      <c r="G9" s="20">
        <v>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43AF-BA6A-4F0D-A7A1-E044ECEC06A0}">
  <dimension ref="A1:F3"/>
  <sheetViews>
    <sheetView workbookViewId="0">
      <selection activeCell="A3" sqref="A3"/>
    </sheetView>
  </sheetViews>
  <sheetFormatPr defaultRowHeight="14.4"/>
  <cols>
    <col min="1" max="1" width="19.6640625" customWidth="1"/>
    <col min="2" max="2" width="24.6640625" customWidth="1"/>
    <col min="3" max="3" width="23" customWidth="1"/>
    <col min="4" max="4" width="22.6640625" customWidth="1"/>
    <col min="5" max="5" width="26.44140625" customWidth="1"/>
    <col min="6" max="6" width="24.44140625" customWidth="1"/>
  </cols>
  <sheetData>
    <row r="1" spans="1:6" ht="34.200000000000003" customHeight="1">
      <c r="A1" s="18" t="s">
        <v>102</v>
      </c>
      <c r="B1" s="19"/>
      <c r="C1" s="19"/>
      <c r="D1" s="19"/>
      <c r="E1" s="19"/>
      <c r="F1" s="19"/>
    </row>
    <row r="2" spans="1:6">
      <c r="A2" t="s">
        <v>71</v>
      </c>
      <c r="B2" t="s">
        <v>72</v>
      </c>
      <c r="C2" t="s">
        <v>73</v>
      </c>
      <c r="D2" t="s">
        <v>74</v>
      </c>
      <c r="E2" t="s">
        <v>77</v>
      </c>
      <c r="F2" t="s">
        <v>78</v>
      </c>
    </row>
    <row r="3" spans="1:6" ht="18">
      <c r="A3">
        <f>'Training KPIs'!B2</f>
        <v>25</v>
      </c>
      <c r="B3" s="11">
        <f ca="1">'Training KPIs'!B3</f>
        <v>15</v>
      </c>
      <c r="C3" s="11">
        <f>'Training KPIs'!B4</f>
        <v>23</v>
      </c>
      <c r="D3" s="11">
        <f ca="1">'Training KPIs'!B5</f>
        <v>10</v>
      </c>
      <c r="E3" s="12">
        <f ca="1">'Training KPIs'!B8</f>
        <v>4</v>
      </c>
      <c r="F3" s="12">
        <f ca="1">'Training KPIs'!B9</f>
        <v>3</v>
      </c>
    </row>
  </sheetData>
  <mergeCells count="1">
    <mergeCell ref="A1:F1"/>
  </mergeCells>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2BD45-CD17-4954-801B-0278EA4D8591}">
  <dimension ref="A1:B7"/>
  <sheetViews>
    <sheetView topLeftCell="AT1" workbookViewId="0">
      <selection activeCell="A4" sqref="A4"/>
    </sheetView>
  </sheetViews>
  <sheetFormatPr defaultRowHeight="14.4"/>
  <cols>
    <col min="1" max="1" width="22.6640625" customWidth="1"/>
    <col min="2" max="2" width="20.6640625" customWidth="1"/>
  </cols>
  <sheetData>
    <row r="1" spans="1:2">
      <c r="A1" s="3" t="s">
        <v>64</v>
      </c>
      <c r="B1" s="3" t="s">
        <v>85</v>
      </c>
    </row>
    <row r="2" spans="1:2">
      <c r="A2" s="1" t="s">
        <v>148</v>
      </c>
      <c r="B2" s="16">
        <f>'TMF KPIs'!B2</f>
        <v>8</v>
      </c>
    </row>
    <row r="3" spans="1:2">
      <c r="A3" s="1" t="s">
        <v>149</v>
      </c>
      <c r="B3" s="16">
        <f>'TMF KPIs'!B3</f>
        <v>4</v>
      </c>
    </row>
    <row r="4" spans="1:2">
      <c r="A4" s="1" t="s">
        <v>150</v>
      </c>
      <c r="B4" s="16">
        <f>'TMF KPIs'!B4</f>
        <v>1</v>
      </c>
    </row>
    <row r="5" spans="1:2">
      <c r="A5" s="1" t="s">
        <v>151</v>
      </c>
      <c r="B5" s="16">
        <f>'TMF KPIs'!B5</f>
        <v>2</v>
      </c>
    </row>
    <row r="6" spans="1:2">
      <c r="A6" s="1" t="s">
        <v>152</v>
      </c>
      <c r="B6" s="16">
        <f>'TMF KPIs'!B6</f>
        <v>1</v>
      </c>
    </row>
    <row r="7" spans="1:2">
      <c r="A7" s="1" t="s">
        <v>153</v>
      </c>
      <c r="B7" s="16">
        <f ca="1">'TMF KPIs'!B7</f>
        <v>4</v>
      </c>
    </row>
  </sheetData>
  <pageMargins left="0.7" right="0.7" top="0.75" bottom="0.75" header="0.3" footer="0.3"/>
  <drawing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F1F2-2ABE-4E8F-8C88-02E053942F5B}">
  <dimension ref="A1:Z9"/>
  <sheetViews>
    <sheetView zoomScale="105" workbookViewId="0">
      <selection sqref="A1:Y9"/>
    </sheetView>
  </sheetViews>
  <sheetFormatPr defaultRowHeight="14.4"/>
  <cols>
    <col min="1" max="1" width="10.33203125" bestFit="1" customWidth="1"/>
    <col min="2" max="2" width="13.77734375" bestFit="1" customWidth="1"/>
    <col min="3" max="3" width="10.77734375" bestFit="1" customWidth="1"/>
    <col min="4" max="4" width="15.44140625" bestFit="1" customWidth="1"/>
    <col min="5" max="5" width="20" bestFit="1" customWidth="1"/>
    <col min="6" max="6" width="15.109375" bestFit="1" customWidth="1"/>
    <col min="7" max="7" width="14.109375" bestFit="1" customWidth="1"/>
    <col min="8" max="8" width="16.88671875" bestFit="1" customWidth="1"/>
    <col min="9" max="9" width="9.88671875" bestFit="1" customWidth="1"/>
    <col min="10" max="10" width="10.21875" bestFit="1" customWidth="1"/>
    <col min="11" max="11" width="14.88671875" bestFit="1" customWidth="1"/>
    <col min="12" max="12" width="13" bestFit="1" customWidth="1"/>
    <col min="13" max="13" width="21.44140625" bestFit="1" customWidth="1"/>
    <col min="14" max="14" width="8.109375" bestFit="1" customWidth="1"/>
    <col min="15" max="15" width="17.33203125" bestFit="1" customWidth="1"/>
    <col min="16" max="16" width="28.88671875" bestFit="1" customWidth="1"/>
    <col min="17" max="17" width="16.33203125" bestFit="1" customWidth="1"/>
    <col min="18" max="18" width="25.21875" bestFit="1" customWidth="1"/>
    <col min="19" max="19" width="10.77734375" bestFit="1" customWidth="1"/>
    <col min="20" max="20" width="11.77734375" bestFit="1" customWidth="1"/>
    <col min="21" max="21" width="16.6640625" bestFit="1" customWidth="1"/>
    <col min="22" max="22" width="19.5546875" bestFit="1" customWidth="1"/>
    <col min="23" max="23" width="16.88671875" bestFit="1" customWidth="1"/>
    <col min="24" max="24" width="23.109375" bestFit="1" customWidth="1"/>
    <col min="25" max="25" width="14.6640625" bestFit="1" customWidth="1"/>
    <col min="26" max="26" width="11.44140625" bestFit="1" customWidth="1"/>
    <col min="27" max="27" width="18" bestFit="1" customWidth="1"/>
    <col min="28" max="28" width="19" bestFit="1" customWidth="1"/>
    <col min="29" max="29" width="24" bestFit="1" customWidth="1"/>
    <col min="30" max="30" width="18" bestFit="1" customWidth="1"/>
    <col min="31" max="31" width="19" customWidth="1"/>
    <col min="32" max="33" width="24" bestFit="1" customWidth="1"/>
    <col min="34" max="34" width="18" bestFit="1" customWidth="1"/>
    <col min="35" max="35" width="18.88671875" bestFit="1" customWidth="1"/>
    <col min="36" max="36" width="24" bestFit="1" customWidth="1"/>
    <col min="37" max="37" width="24.44140625" bestFit="1" customWidth="1"/>
    <col min="38" max="38" width="28.88671875" bestFit="1" customWidth="1"/>
    <col min="39" max="39" width="23.21875" bestFit="1" customWidth="1"/>
  </cols>
  <sheetData>
    <row r="1" spans="1:26">
      <c r="A1" t="s">
        <v>0</v>
      </c>
      <c r="B1" t="s">
        <v>34</v>
      </c>
      <c r="C1" t="s">
        <v>63</v>
      </c>
      <c r="D1" t="s">
        <v>69</v>
      </c>
      <c r="E1" t="s">
        <v>4</v>
      </c>
      <c r="F1" t="s">
        <v>5</v>
      </c>
      <c r="G1" t="s">
        <v>6</v>
      </c>
      <c r="H1" t="s">
        <v>7</v>
      </c>
      <c r="I1" t="s">
        <v>8</v>
      </c>
      <c r="J1" t="s">
        <v>32</v>
      </c>
      <c r="K1" t="s">
        <v>9</v>
      </c>
      <c r="L1" t="s">
        <v>100</v>
      </c>
      <c r="M1" t="s">
        <v>101</v>
      </c>
      <c r="N1" t="s">
        <v>10</v>
      </c>
      <c r="O1" t="s">
        <v>1</v>
      </c>
      <c r="P1" t="s">
        <v>2</v>
      </c>
      <c r="Q1" t="s">
        <v>35</v>
      </c>
      <c r="R1" t="s">
        <v>3</v>
      </c>
      <c r="S1" t="s">
        <v>45</v>
      </c>
      <c r="T1" t="s">
        <v>46</v>
      </c>
      <c r="U1" t="s">
        <v>47</v>
      </c>
      <c r="V1" t="s">
        <v>238</v>
      </c>
      <c r="W1" t="s">
        <v>240</v>
      </c>
      <c r="X1" t="s">
        <v>241</v>
      </c>
      <c r="Y1" t="s">
        <v>97</v>
      </c>
      <c r="Z1" t="s">
        <v>198</v>
      </c>
    </row>
    <row r="2" spans="1:26">
      <c r="A2" t="s">
        <v>18</v>
      </c>
      <c r="B2" t="s">
        <v>36</v>
      </c>
      <c r="C2" t="s">
        <v>48</v>
      </c>
      <c r="D2">
        <v>4</v>
      </c>
      <c r="E2" t="s">
        <v>33</v>
      </c>
      <c r="F2" s="17">
        <v>46235</v>
      </c>
      <c r="G2" s="17">
        <v>46242</v>
      </c>
      <c r="H2" s="17">
        <v>46240</v>
      </c>
      <c r="I2" t="s">
        <v>65</v>
      </c>
      <c r="J2" t="s">
        <v>33</v>
      </c>
      <c r="K2">
        <v>0</v>
      </c>
      <c r="O2" t="s">
        <v>42</v>
      </c>
      <c r="P2" t="s">
        <v>43</v>
      </c>
      <c r="Q2" t="s">
        <v>37</v>
      </c>
      <c r="R2" t="s">
        <v>20</v>
      </c>
      <c r="S2" t="s">
        <v>49</v>
      </c>
      <c r="T2" t="s">
        <v>33</v>
      </c>
      <c r="U2">
        <v>24</v>
      </c>
      <c r="V2" t="s">
        <v>239</v>
      </c>
      <c r="W2" t="s">
        <v>239</v>
      </c>
      <c r="X2" t="s">
        <v>239</v>
      </c>
      <c r="Y2" t="s">
        <v>243</v>
      </c>
      <c r="Z2" t="s">
        <v>244</v>
      </c>
    </row>
    <row r="3" spans="1:26">
      <c r="A3" t="s">
        <v>18</v>
      </c>
      <c r="B3" t="s">
        <v>36</v>
      </c>
      <c r="C3" t="s">
        <v>56</v>
      </c>
      <c r="D3">
        <v>4</v>
      </c>
      <c r="E3" t="s">
        <v>33</v>
      </c>
      <c r="F3" s="17">
        <v>46239</v>
      </c>
      <c r="G3" s="17">
        <v>46246</v>
      </c>
      <c r="H3" s="17">
        <v>46247</v>
      </c>
      <c r="I3" t="s">
        <v>65</v>
      </c>
      <c r="J3" t="s">
        <v>33</v>
      </c>
      <c r="K3">
        <v>1</v>
      </c>
      <c r="O3" t="s">
        <v>42</v>
      </c>
      <c r="P3" t="s">
        <v>43</v>
      </c>
      <c r="Q3" t="s">
        <v>37</v>
      </c>
      <c r="R3" t="s">
        <v>28</v>
      </c>
      <c r="S3" t="s">
        <v>57</v>
      </c>
      <c r="T3" t="s">
        <v>33</v>
      </c>
      <c r="U3">
        <v>12</v>
      </c>
      <c r="V3" t="s">
        <v>239</v>
      </c>
      <c r="W3" t="s">
        <v>239</v>
      </c>
      <c r="X3" t="s">
        <v>239</v>
      </c>
      <c r="Y3" t="s">
        <v>243</v>
      </c>
      <c r="Z3" t="s">
        <v>244</v>
      </c>
    </row>
    <row r="4" spans="1:26">
      <c r="A4" t="s">
        <v>18</v>
      </c>
      <c r="B4" t="s">
        <v>38</v>
      </c>
      <c r="C4" t="s">
        <v>50</v>
      </c>
      <c r="D4">
        <v>3</v>
      </c>
      <c r="E4" t="s">
        <v>33</v>
      </c>
      <c r="F4" s="17">
        <v>46236</v>
      </c>
      <c r="G4" s="17">
        <v>46243</v>
      </c>
      <c r="H4" s="17"/>
      <c r="I4" t="s">
        <v>68</v>
      </c>
      <c r="J4" t="s">
        <v>33</v>
      </c>
      <c r="K4">
        <v>57</v>
      </c>
      <c r="O4" t="s">
        <v>21</v>
      </c>
      <c r="P4" t="s">
        <v>19</v>
      </c>
      <c r="Q4" t="s">
        <v>37</v>
      </c>
      <c r="R4" t="s">
        <v>22</v>
      </c>
      <c r="S4" t="s">
        <v>51</v>
      </c>
      <c r="T4" t="s">
        <v>33</v>
      </c>
      <c r="U4">
        <v>12</v>
      </c>
      <c r="V4" t="s">
        <v>239</v>
      </c>
      <c r="W4" t="s">
        <v>239</v>
      </c>
      <c r="X4" t="s">
        <v>239</v>
      </c>
      <c r="Y4" t="s">
        <v>243</v>
      </c>
      <c r="Z4" t="s">
        <v>68</v>
      </c>
    </row>
    <row r="5" spans="1:26">
      <c r="A5" t="s">
        <v>18</v>
      </c>
      <c r="B5" t="s">
        <v>39</v>
      </c>
      <c r="C5" t="s">
        <v>52</v>
      </c>
      <c r="D5">
        <v>2</v>
      </c>
      <c r="E5" t="s">
        <v>33</v>
      </c>
      <c r="F5" s="17">
        <v>46237</v>
      </c>
      <c r="G5" s="17">
        <v>46244</v>
      </c>
      <c r="H5" s="17">
        <v>46244</v>
      </c>
      <c r="I5" t="s">
        <v>65</v>
      </c>
      <c r="J5" t="s">
        <v>33</v>
      </c>
      <c r="K5">
        <v>0</v>
      </c>
      <c r="O5" t="s">
        <v>23</v>
      </c>
      <c r="P5" t="s">
        <v>24</v>
      </c>
      <c r="Q5" t="s">
        <v>37</v>
      </c>
      <c r="R5" t="s">
        <v>25</v>
      </c>
      <c r="S5" t="s">
        <v>53</v>
      </c>
      <c r="T5" t="s">
        <v>33</v>
      </c>
      <c r="U5">
        <v>12</v>
      </c>
      <c r="V5" t="s">
        <v>239</v>
      </c>
      <c r="W5" t="s">
        <v>239</v>
      </c>
      <c r="X5" t="s">
        <v>239</v>
      </c>
      <c r="Y5" t="s">
        <v>243</v>
      </c>
      <c r="Z5" t="s">
        <v>244</v>
      </c>
    </row>
    <row r="6" spans="1:26">
      <c r="A6" t="s">
        <v>18</v>
      </c>
      <c r="B6" t="s">
        <v>40</v>
      </c>
      <c r="C6" t="s">
        <v>54</v>
      </c>
      <c r="D6">
        <v>3</v>
      </c>
      <c r="E6" t="s">
        <v>33</v>
      </c>
      <c r="F6" s="17">
        <v>46238</v>
      </c>
      <c r="G6" s="17">
        <v>46245</v>
      </c>
      <c r="H6" s="17"/>
      <c r="I6" t="s">
        <v>68</v>
      </c>
      <c r="J6" t="s">
        <v>33</v>
      </c>
      <c r="K6">
        <v>55</v>
      </c>
      <c r="O6" t="s">
        <v>26</v>
      </c>
      <c r="P6" t="s">
        <v>251</v>
      </c>
      <c r="Q6" t="s">
        <v>41</v>
      </c>
      <c r="R6" t="s">
        <v>27</v>
      </c>
      <c r="S6" t="s">
        <v>55</v>
      </c>
      <c r="T6" t="s">
        <v>33</v>
      </c>
      <c r="U6">
        <v>12</v>
      </c>
      <c r="V6" t="s">
        <v>239</v>
      </c>
      <c r="W6" t="s">
        <v>239</v>
      </c>
      <c r="X6" t="s">
        <v>239</v>
      </c>
      <c r="Y6" t="s">
        <v>243</v>
      </c>
      <c r="Z6" t="s">
        <v>68</v>
      </c>
    </row>
    <row r="7" spans="1:26">
      <c r="A7" t="s">
        <v>18</v>
      </c>
      <c r="B7" t="s">
        <v>39</v>
      </c>
      <c r="C7" t="s">
        <v>58</v>
      </c>
      <c r="D7">
        <v>2</v>
      </c>
      <c r="E7" t="s">
        <v>59</v>
      </c>
      <c r="F7" s="17">
        <v>46240</v>
      </c>
      <c r="G7" s="17">
        <v>46254</v>
      </c>
      <c r="H7" s="17"/>
      <c r="I7" t="s">
        <v>68</v>
      </c>
      <c r="J7" t="s">
        <v>33</v>
      </c>
      <c r="K7">
        <v>46</v>
      </c>
      <c r="O7" t="s">
        <v>23</v>
      </c>
      <c r="P7" t="s">
        <v>24</v>
      </c>
      <c r="Q7" t="s">
        <v>37</v>
      </c>
      <c r="R7" t="s">
        <v>29</v>
      </c>
      <c r="S7" t="s">
        <v>49</v>
      </c>
      <c r="T7" t="s">
        <v>59</v>
      </c>
      <c r="U7">
        <v>24</v>
      </c>
      <c r="V7" t="s">
        <v>239</v>
      </c>
      <c r="W7" t="s">
        <v>239</v>
      </c>
      <c r="X7" t="s">
        <v>239</v>
      </c>
      <c r="Y7" t="s">
        <v>243</v>
      </c>
      <c r="Z7" t="s">
        <v>68</v>
      </c>
    </row>
    <row r="8" spans="1:26">
      <c r="A8" t="s">
        <v>18</v>
      </c>
      <c r="B8" t="s">
        <v>38</v>
      </c>
      <c r="C8" t="s">
        <v>60</v>
      </c>
      <c r="D8">
        <v>5</v>
      </c>
      <c r="E8" t="s">
        <v>33</v>
      </c>
      <c r="F8" s="17">
        <v>46241</v>
      </c>
      <c r="G8" s="17">
        <v>46248</v>
      </c>
      <c r="H8" s="17">
        <v>46248</v>
      </c>
      <c r="I8" t="s">
        <v>65</v>
      </c>
      <c r="J8" t="s">
        <v>33</v>
      </c>
      <c r="K8">
        <v>0</v>
      </c>
      <c r="O8" t="s">
        <v>21</v>
      </c>
      <c r="P8" t="s">
        <v>19</v>
      </c>
      <c r="Q8" t="s">
        <v>37</v>
      </c>
      <c r="R8" t="s">
        <v>30</v>
      </c>
      <c r="S8" t="s">
        <v>51</v>
      </c>
      <c r="T8" t="s">
        <v>33</v>
      </c>
      <c r="U8">
        <v>12</v>
      </c>
      <c r="V8" t="s">
        <v>239</v>
      </c>
      <c r="W8" t="s">
        <v>239</v>
      </c>
      <c r="X8" t="s">
        <v>239</v>
      </c>
      <c r="Y8" t="s">
        <v>243</v>
      </c>
      <c r="Z8" t="s">
        <v>244</v>
      </c>
    </row>
    <row r="9" spans="1:26">
      <c r="A9" t="s">
        <v>18</v>
      </c>
      <c r="B9" t="s">
        <v>40</v>
      </c>
      <c r="C9" t="s">
        <v>61</v>
      </c>
      <c r="D9">
        <v>2</v>
      </c>
      <c r="E9" t="s">
        <v>33</v>
      </c>
      <c r="F9" s="17">
        <v>46242</v>
      </c>
      <c r="G9" s="17">
        <v>46249</v>
      </c>
      <c r="H9" s="17"/>
      <c r="I9" t="s">
        <v>68</v>
      </c>
      <c r="J9" t="s">
        <v>33</v>
      </c>
      <c r="K9">
        <v>51</v>
      </c>
      <c r="O9" t="s">
        <v>26</v>
      </c>
      <c r="P9" t="s">
        <v>251</v>
      </c>
      <c r="Q9" t="s">
        <v>41</v>
      </c>
      <c r="R9" t="s">
        <v>31</v>
      </c>
      <c r="S9" t="s">
        <v>62</v>
      </c>
      <c r="T9" t="s">
        <v>33</v>
      </c>
      <c r="U9">
        <v>24</v>
      </c>
      <c r="V9" t="s">
        <v>239</v>
      </c>
      <c r="W9" t="s">
        <v>239</v>
      </c>
      <c r="X9" t="s">
        <v>239</v>
      </c>
      <c r="Y9" t="s">
        <v>243</v>
      </c>
      <c r="Z9" t="s">
        <v>68</v>
      </c>
    </row>
  </sheetData>
  <phoneticPr fontId="4"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8E634-A3D5-4A10-93CF-C39F7B6A53AC}">
  <dimension ref="A1:D5"/>
  <sheetViews>
    <sheetView workbookViewId="0">
      <selection activeCell="C12" sqref="C12"/>
    </sheetView>
  </sheetViews>
  <sheetFormatPr defaultRowHeight="14.4"/>
  <cols>
    <col min="1" max="1" width="13.77734375" bestFit="1" customWidth="1"/>
    <col min="2" max="2" width="17.33203125" bestFit="1" customWidth="1"/>
    <col min="3" max="3" width="28.88671875" bestFit="1" customWidth="1"/>
    <col min="4" max="4" width="16.33203125" bestFit="1" customWidth="1"/>
  </cols>
  <sheetData>
    <row r="1" spans="1:4">
      <c r="A1" t="s">
        <v>34</v>
      </c>
      <c r="B1" t="s">
        <v>1</v>
      </c>
      <c r="C1" t="s">
        <v>2</v>
      </c>
      <c r="D1" t="s">
        <v>35</v>
      </c>
    </row>
    <row r="2" spans="1:4">
      <c r="A2" t="s">
        <v>36</v>
      </c>
      <c r="B2" t="s">
        <v>42</v>
      </c>
      <c r="C2" t="s">
        <v>43</v>
      </c>
      <c r="D2" t="s">
        <v>37</v>
      </c>
    </row>
    <row r="3" spans="1:4">
      <c r="A3" t="s">
        <v>38</v>
      </c>
      <c r="B3" t="s">
        <v>21</v>
      </c>
      <c r="C3" t="s">
        <v>19</v>
      </c>
      <c r="D3" t="s">
        <v>37</v>
      </c>
    </row>
    <row r="4" spans="1:4">
      <c r="A4" t="s">
        <v>39</v>
      </c>
      <c r="B4" t="s">
        <v>23</v>
      </c>
      <c r="C4" t="s">
        <v>24</v>
      </c>
      <c r="D4" t="s">
        <v>37</v>
      </c>
    </row>
    <row r="5" spans="1:4">
      <c r="A5" t="s">
        <v>40</v>
      </c>
      <c r="B5" t="s">
        <v>26</v>
      </c>
      <c r="C5" t="s">
        <v>251</v>
      </c>
      <c r="D5" t="s">
        <v>41</v>
      </c>
    </row>
  </sheetData>
  <phoneticPr fontId="4"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A552-249E-48C6-AE91-E3B60D1A5C4E}">
  <dimension ref="A1:E9"/>
  <sheetViews>
    <sheetView workbookViewId="0">
      <selection sqref="A1:E9"/>
    </sheetView>
  </sheetViews>
  <sheetFormatPr defaultRowHeight="14.4"/>
  <cols>
    <col min="1" max="1" width="11.21875" bestFit="1" customWidth="1"/>
    <col min="2" max="2" width="25" bestFit="1" customWidth="1"/>
    <col min="3" max="3" width="10.77734375" bestFit="1" customWidth="1"/>
    <col min="4" max="4" width="11.6640625" bestFit="1" customWidth="1"/>
    <col min="5" max="5" width="16.6640625" bestFit="1" customWidth="1"/>
  </cols>
  <sheetData>
    <row r="1" spans="1:5">
      <c r="A1" t="s">
        <v>44</v>
      </c>
      <c r="B1" t="s">
        <v>3</v>
      </c>
      <c r="C1" t="s">
        <v>45</v>
      </c>
      <c r="D1" t="s">
        <v>46</v>
      </c>
      <c r="E1" t="s">
        <v>47</v>
      </c>
    </row>
    <row r="2" spans="1:5">
      <c r="A2" t="s">
        <v>48</v>
      </c>
      <c r="B2" t="s">
        <v>20</v>
      </c>
      <c r="C2" t="s">
        <v>49</v>
      </c>
      <c r="D2" t="s">
        <v>33</v>
      </c>
      <c r="E2">
        <v>24</v>
      </c>
    </row>
    <row r="3" spans="1:5">
      <c r="A3" t="s">
        <v>50</v>
      </c>
      <c r="B3" t="s">
        <v>22</v>
      </c>
      <c r="C3" t="s">
        <v>51</v>
      </c>
      <c r="D3" t="s">
        <v>33</v>
      </c>
      <c r="E3">
        <v>12</v>
      </c>
    </row>
    <row r="4" spans="1:5">
      <c r="A4" t="s">
        <v>52</v>
      </c>
      <c r="B4" t="s">
        <v>25</v>
      </c>
      <c r="C4" t="s">
        <v>53</v>
      </c>
      <c r="D4" t="s">
        <v>33</v>
      </c>
      <c r="E4">
        <v>12</v>
      </c>
    </row>
    <row r="5" spans="1:5">
      <c r="A5" t="s">
        <v>54</v>
      </c>
      <c r="B5" t="s">
        <v>27</v>
      </c>
      <c r="C5" t="s">
        <v>55</v>
      </c>
      <c r="D5" t="s">
        <v>33</v>
      </c>
      <c r="E5">
        <v>12</v>
      </c>
    </row>
    <row r="6" spans="1:5">
      <c r="A6" t="s">
        <v>56</v>
      </c>
      <c r="B6" t="s">
        <v>28</v>
      </c>
      <c r="C6" t="s">
        <v>57</v>
      </c>
      <c r="D6" t="s">
        <v>33</v>
      </c>
      <c r="E6">
        <v>12</v>
      </c>
    </row>
    <row r="7" spans="1:5">
      <c r="A7" t="s">
        <v>58</v>
      </c>
      <c r="B7" t="s">
        <v>29</v>
      </c>
      <c r="C7" t="s">
        <v>49</v>
      </c>
      <c r="D7" t="s">
        <v>59</v>
      </c>
      <c r="E7">
        <v>24</v>
      </c>
    </row>
    <row r="8" spans="1:5">
      <c r="A8" t="s">
        <v>60</v>
      </c>
      <c r="B8" t="s">
        <v>30</v>
      </c>
      <c r="C8" t="s">
        <v>51</v>
      </c>
      <c r="D8" t="s">
        <v>33</v>
      </c>
      <c r="E8">
        <v>12</v>
      </c>
    </row>
    <row r="9" spans="1:5">
      <c r="A9" t="s">
        <v>61</v>
      </c>
      <c r="B9" t="s">
        <v>31</v>
      </c>
      <c r="C9" t="s">
        <v>62</v>
      </c>
      <c r="D9" t="s">
        <v>33</v>
      </c>
      <c r="E9">
        <v>24</v>
      </c>
    </row>
  </sheetData>
  <phoneticPr fontId="4"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9091-CC0E-4611-B158-476D07D2C2D9}">
  <dimension ref="A1:R9"/>
  <sheetViews>
    <sheetView tabSelected="1" topLeftCell="I1" workbookViewId="0">
      <selection activeCell="L18" sqref="L18"/>
    </sheetView>
  </sheetViews>
  <sheetFormatPr defaultRowHeight="14.4"/>
  <cols>
    <col min="1" max="1" width="10.33203125" bestFit="1" customWidth="1"/>
    <col min="2" max="2" width="14.21875" bestFit="1" customWidth="1"/>
    <col min="3" max="3" width="16.21875" bestFit="1" customWidth="1"/>
    <col min="4" max="4" width="9.44140625" bestFit="1" customWidth="1"/>
    <col min="5" max="5" width="25.109375" bestFit="1" customWidth="1"/>
    <col min="6" max="6" width="9.5546875" bestFit="1" customWidth="1"/>
    <col min="7" max="7" width="17.77734375" bestFit="1" customWidth="1"/>
    <col min="8" max="8" width="17.33203125" bestFit="1" customWidth="1"/>
    <col min="9" max="9" width="15.109375" bestFit="1" customWidth="1"/>
    <col min="10" max="10" width="13.6640625" bestFit="1" customWidth="1"/>
    <col min="11" max="11" width="11.33203125" bestFit="1" customWidth="1"/>
    <col min="12" max="12" width="27.109375" bestFit="1" customWidth="1"/>
    <col min="13" max="13" width="15" bestFit="1" customWidth="1"/>
    <col min="14" max="14" width="14.88671875" bestFit="1" customWidth="1"/>
    <col min="15" max="15" width="14.6640625" bestFit="1" customWidth="1"/>
    <col min="16" max="16" width="20" bestFit="1" customWidth="1"/>
    <col min="17" max="17" width="16.5546875" bestFit="1" customWidth="1"/>
    <col min="18" max="18" width="11.21875" bestFit="1" customWidth="1"/>
  </cols>
  <sheetData>
    <row r="1" spans="1:18">
      <c r="A1" t="s">
        <v>0</v>
      </c>
      <c r="B1" t="s">
        <v>103</v>
      </c>
      <c r="C1" t="s">
        <v>104</v>
      </c>
      <c r="D1" t="s">
        <v>105</v>
      </c>
      <c r="E1" t="s">
        <v>15</v>
      </c>
      <c r="F1" t="s">
        <v>16</v>
      </c>
      <c r="G1" t="s">
        <v>106</v>
      </c>
      <c r="H1" t="s">
        <v>13</v>
      </c>
      <c r="I1" t="s">
        <v>107</v>
      </c>
      <c r="J1" t="s">
        <v>6</v>
      </c>
      <c r="K1" t="s">
        <v>17</v>
      </c>
      <c r="L1" t="s">
        <v>10</v>
      </c>
      <c r="M1" t="s">
        <v>142</v>
      </c>
      <c r="N1" t="s">
        <v>9</v>
      </c>
      <c r="O1" t="s">
        <v>97</v>
      </c>
      <c r="P1" t="s">
        <v>245</v>
      </c>
      <c r="Q1" t="s">
        <v>94</v>
      </c>
      <c r="R1" t="s">
        <v>246</v>
      </c>
    </row>
    <row r="2" spans="1:18">
      <c r="A2" t="s">
        <v>108</v>
      </c>
      <c r="B2" t="s">
        <v>109</v>
      </c>
      <c r="C2" t="s">
        <v>110</v>
      </c>
      <c r="D2">
        <v>1</v>
      </c>
      <c r="E2" t="s">
        <v>111</v>
      </c>
      <c r="F2">
        <v>1</v>
      </c>
      <c r="G2" t="s">
        <v>112</v>
      </c>
      <c r="H2" t="s">
        <v>42</v>
      </c>
      <c r="I2" s="17">
        <v>46235</v>
      </c>
      <c r="J2" s="17">
        <v>46239</v>
      </c>
      <c r="K2" t="s">
        <v>113</v>
      </c>
      <c r="L2" t="s">
        <v>114</v>
      </c>
      <c r="M2" t="s">
        <v>65</v>
      </c>
      <c r="N2">
        <v>0</v>
      </c>
      <c r="O2" t="s">
        <v>243</v>
      </c>
      <c r="P2" t="s">
        <v>239</v>
      </c>
      <c r="Q2" t="s">
        <v>239</v>
      </c>
      <c r="R2" t="s">
        <v>239</v>
      </c>
    </row>
    <row r="3" spans="1:18">
      <c r="A3" t="s">
        <v>108</v>
      </c>
      <c r="B3" t="s">
        <v>115</v>
      </c>
      <c r="C3" t="s">
        <v>110</v>
      </c>
      <c r="D3">
        <v>2</v>
      </c>
      <c r="E3" t="s">
        <v>51</v>
      </c>
      <c r="F3">
        <v>2</v>
      </c>
      <c r="G3" t="s">
        <v>112</v>
      </c>
      <c r="H3" t="s">
        <v>21</v>
      </c>
      <c r="I3" s="17">
        <v>46237</v>
      </c>
      <c r="J3" s="17">
        <v>46241</v>
      </c>
      <c r="K3" t="s">
        <v>113</v>
      </c>
      <c r="L3" t="s">
        <v>116</v>
      </c>
      <c r="M3" t="s">
        <v>65</v>
      </c>
      <c r="N3">
        <v>0</v>
      </c>
      <c r="O3" t="s">
        <v>243</v>
      </c>
      <c r="P3" t="s">
        <v>239</v>
      </c>
      <c r="Q3" t="s">
        <v>239</v>
      </c>
      <c r="R3" t="s">
        <v>239</v>
      </c>
    </row>
    <row r="4" spans="1:18">
      <c r="A4" t="s">
        <v>108</v>
      </c>
      <c r="B4" t="s">
        <v>117</v>
      </c>
      <c r="C4" t="s">
        <v>118</v>
      </c>
      <c r="D4">
        <v>1</v>
      </c>
      <c r="E4" t="s">
        <v>119</v>
      </c>
      <c r="F4">
        <v>1</v>
      </c>
      <c r="G4" t="s">
        <v>120</v>
      </c>
      <c r="H4" t="s">
        <v>23</v>
      </c>
      <c r="I4" s="17">
        <v>46242</v>
      </c>
      <c r="J4" s="17">
        <v>46246</v>
      </c>
      <c r="K4" t="s">
        <v>121</v>
      </c>
      <c r="L4" t="s">
        <v>122</v>
      </c>
      <c r="M4" t="s">
        <v>68</v>
      </c>
      <c r="N4">
        <v>54</v>
      </c>
      <c r="O4" t="s">
        <v>242</v>
      </c>
      <c r="P4" t="s">
        <v>239</v>
      </c>
      <c r="Q4" t="s">
        <v>239</v>
      </c>
      <c r="R4" t="s">
        <v>239</v>
      </c>
    </row>
    <row r="5" spans="1:18">
      <c r="A5" t="s">
        <v>108</v>
      </c>
      <c r="B5" t="s">
        <v>123</v>
      </c>
      <c r="C5" t="s">
        <v>57</v>
      </c>
      <c r="D5">
        <v>1</v>
      </c>
      <c r="E5" t="s">
        <v>124</v>
      </c>
      <c r="F5">
        <v>1</v>
      </c>
      <c r="G5" t="s">
        <v>112</v>
      </c>
      <c r="H5" t="s">
        <v>26</v>
      </c>
      <c r="I5" s="17">
        <v>46239</v>
      </c>
      <c r="J5" s="17">
        <v>46244</v>
      </c>
      <c r="K5" t="s">
        <v>113</v>
      </c>
      <c r="L5" t="s">
        <v>125</v>
      </c>
      <c r="M5" t="s">
        <v>65</v>
      </c>
      <c r="N5">
        <v>0</v>
      </c>
      <c r="O5" t="s">
        <v>243</v>
      </c>
      <c r="P5" t="s">
        <v>239</v>
      </c>
      <c r="Q5" t="s">
        <v>239</v>
      </c>
      <c r="R5" t="s">
        <v>239</v>
      </c>
    </row>
    <row r="6" spans="1:18">
      <c r="A6" t="s">
        <v>126</v>
      </c>
      <c r="B6" t="s">
        <v>127</v>
      </c>
      <c r="C6" t="s">
        <v>110</v>
      </c>
      <c r="D6">
        <v>3</v>
      </c>
      <c r="E6" t="s">
        <v>128</v>
      </c>
      <c r="F6">
        <v>1</v>
      </c>
      <c r="G6" t="s">
        <v>129</v>
      </c>
      <c r="H6" t="s">
        <v>42</v>
      </c>
      <c r="I6" s="17">
        <v>46249</v>
      </c>
      <c r="J6" s="17">
        <v>46256</v>
      </c>
      <c r="K6" t="s">
        <v>67</v>
      </c>
      <c r="L6" t="s">
        <v>130</v>
      </c>
      <c r="M6" t="s">
        <v>68</v>
      </c>
      <c r="N6">
        <v>44</v>
      </c>
      <c r="O6" t="s">
        <v>242</v>
      </c>
      <c r="P6" t="s">
        <v>239</v>
      </c>
      <c r="Q6" t="s">
        <v>239</v>
      </c>
      <c r="R6" t="s">
        <v>239</v>
      </c>
    </row>
    <row r="7" spans="1:18">
      <c r="A7" t="s">
        <v>126</v>
      </c>
      <c r="B7" t="s">
        <v>131</v>
      </c>
      <c r="C7" t="s">
        <v>132</v>
      </c>
      <c r="D7">
        <v>1</v>
      </c>
      <c r="E7" t="s">
        <v>133</v>
      </c>
      <c r="F7">
        <v>1</v>
      </c>
      <c r="G7" t="s">
        <v>112</v>
      </c>
      <c r="H7" t="s">
        <v>21</v>
      </c>
      <c r="I7" s="17">
        <v>46252</v>
      </c>
      <c r="J7" s="17">
        <v>46254</v>
      </c>
      <c r="K7" t="s">
        <v>113</v>
      </c>
      <c r="L7" t="s">
        <v>134</v>
      </c>
      <c r="M7" t="s">
        <v>65</v>
      </c>
      <c r="N7">
        <v>0</v>
      </c>
      <c r="O7" t="s">
        <v>243</v>
      </c>
      <c r="P7" t="s">
        <v>239</v>
      </c>
      <c r="Q7" t="s">
        <v>239</v>
      </c>
      <c r="R7" t="s">
        <v>239</v>
      </c>
    </row>
    <row r="8" spans="1:18">
      <c r="A8" t="s">
        <v>126</v>
      </c>
      <c r="B8" t="s">
        <v>135</v>
      </c>
      <c r="C8" t="s">
        <v>41</v>
      </c>
      <c r="D8">
        <v>2</v>
      </c>
      <c r="E8" t="s">
        <v>136</v>
      </c>
      <c r="F8">
        <v>1.1000000000000001</v>
      </c>
      <c r="G8" t="s">
        <v>120</v>
      </c>
      <c r="H8" t="s">
        <v>26</v>
      </c>
      <c r="I8" s="17">
        <v>46254</v>
      </c>
      <c r="J8" s="17">
        <v>46259</v>
      </c>
      <c r="K8" t="s">
        <v>137</v>
      </c>
      <c r="L8" t="s">
        <v>138</v>
      </c>
      <c r="M8" t="s">
        <v>68</v>
      </c>
      <c r="N8">
        <v>41</v>
      </c>
      <c r="O8" t="s">
        <v>242</v>
      </c>
      <c r="P8" t="s">
        <v>239</v>
      </c>
      <c r="Q8" t="s">
        <v>239</v>
      </c>
      <c r="R8" t="s">
        <v>146</v>
      </c>
    </row>
    <row r="9" spans="1:18">
      <c r="A9" t="s">
        <v>126</v>
      </c>
      <c r="B9" t="s">
        <v>139</v>
      </c>
      <c r="C9" t="s">
        <v>118</v>
      </c>
      <c r="D9">
        <v>2</v>
      </c>
      <c r="E9" t="s">
        <v>140</v>
      </c>
      <c r="F9">
        <v>1</v>
      </c>
      <c r="G9" t="s">
        <v>68</v>
      </c>
      <c r="H9" t="s">
        <v>23</v>
      </c>
      <c r="I9" s="17">
        <v>46254</v>
      </c>
      <c r="J9" s="17">
        <v>46262</v>
      </c>
      <c r="K9" t="s">
        <v>67</v>
      </c>
      <c r="L9" t="s">
        <v>141</v>
      </c>
      <c r="M9" t="s">
        <v>68</v>
      </c>
      <c r="N9">
        <v>38</v>
      </c>
      <c r="O9" t="s">
        <v>242</v>
      </c>
      <c r="P9" t="s">
        <v>239</v>
      </c>
      <c r="Q9" t="s">
        <v>239</v>
      </c>
      <c r="R9" t="s">
        <v>239</v>
      </c>
    </row>
  </sheetData>
  <phoneticPr fontId="4"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C4AE-46A3-4D38-83CA-8173DAA49166}">
  <dimension ref="A1:P9"/>
  <sheetViews>
    <sheetView topLeftCell="M1" workbookViewId="0">
      <selection sqref="A1:P9"/>
    </sheetView>
  </sheetViews>
  <sheetFormatPr defaultRowHeight="14.4"/>
  <cols>
    <col min="1" max="1" width="9.6640625" bestFit="1" customWidth="1"/>
    <col min="2" max="2" width="10.33203125" bestFit="1" customWidth="1"/>
    <col min="3" max="3" width="13.6640625" bestFit="1" customWidth="1"/>
    <col min="4" max="4" width="15.5546875" bestFit="1" customWidth="1"/>
    <col min="5" max="5" width="41" bestFit="1" customWidth="1"/>
    <col min="6" max="6" width="9.33203125" bestFit="1" customWidth="1"/>
    <col min="7" max="7" width="17.33203125" bestFit="1" customWidth="1"/>
    <col min="8" max="8" width="9.88671875" bestFit="1" customWidth="1"/>
    <col min="9" max="9" width="13.6640625" bestFit="1" customWidth="1"/>
    <col min="10" max="10" width="16.5546875" bestFit="1" customWidth="1"/>
    <col min="11" max="11" width="12.21875" bestFit="1" customWidth="1"/>
    <col min="12" max="12" width="27.109375" bestFit="1" customWidth="1"/>
    <col min="13" max="13" width="11.33203125" bestFit="1" customWidth="1"/>
    <col min="14" max="14" width="15.33203125" bestFit="1" customWidth="1"/>
    <col min="15" max="15" width="16.5546875" bestFit="1" customWidth="1"/>
    <col min="16" max="16" width="17.6640625" bestFit="1" customWidth="1"/>
  </cols>
  <sheetData>
    <row r="1" spans="1:16">
      <c r="A1" t="s">
        <v>11</v>
      </c>
      <c r="B1" t="s">
        <v>0</v>
      </c>
      <c r="C1" t="s">
        <v>157</v>
      </c>
      <c r="D1" t="s">
        <v>158</v>
      </c>
      <c r="E1" t="s">
        <v>159</v>
      </c>
      <c r="F1" t="s">
        <v>12</v>
      </c>
      <c r="G1" t="s">
        <v>13</v>
      </c>
      <c r="H1" t="s">
        <v>8</v>
      </c>
      <c r="I1" t="s">
        <v>6</v>
      </c>
      <c r="J1" t="s">
        <v>160</v>
      </c>
      <c r="K1" t="s">
        <v>161</v>
      </c>
      <c r="L1" t="s">
        <v>10</v>
      </c>
      <c r="M1" t="s">
        <v>198</v>
      </c>
      <c r="N1" t="s">
        <v>247</v>
      </c>
      <c r="O1" t="s">
        <v>94</v>
      </c>
      <c r="P1" t="s">
        <v>248</v>
      </c>
    </row>
    <row r="2" spans="1:16">
      <c r="A2" t="s">
        <v>162</v>
      </c>
      <c r="B2" t="s">
        <v>108</v>
      </c>
      <c r="C2" s="17">
        <v>46237</v>
      </c>
      <c r="D2" t="s">
        <v>163</v>
      </c>
      <c r="E2" t="s">
        <v>164</v>
      </c>
      <c r="F2" t="s">
        <v>165</v>
      </c>
      <c r="G2" t="s">
        <v>42</v>
      </c>
      <c r="H2" t="s">
        <v>166</v>
      </c>
      <c r="I2" s="17">
        <v>46239</v>
      </c>
      <c r="J2" s="17"/>
      <c r="K2">
        <v>63</v>
      </c>
      <c r="L2" t="s">
        <v>167</v>
      </c>
      <c r="M2" t="s">
        <v>68</v>
      </c>
      <c r="N2" t="s">
        <v>239</v>
      </c>
      <c r="O2" t="s">
        <v>239</v>
      </c>
      <c r="P2" t="s">
        <v>243</v>
      </c>
    </row>
    <row r="3" spans="1:16">
      <c r="A3" t="s">
        <v>168</v>
      </c>
      <c r="B3" t="s">
        <v>108</v>
      </c>
      <c r="C3" s="17">
        <v>46239</v>
      </c>
      <c r="D3" t="s">
        <v>169</v>
      </c>
      <c r="E3" t="s">
        <v>170</v>
      </c>
      <c r="F3" t="s">
        <v>171</v>
      </c>
      <c r="G3" t="s">
        <v>26</v>
      </c>
      <c r="H3" t="s">
        <v>66</v>
      </c>
      <c r="I3" s="17">
        <v>46244</v>
      </c>
      <c r="J3" s="17"/>
      <c r="K3">
        <v>61</v>
      </c>
      <c r="L3" t="s">
        <v>172</v>
      </c>
      <c r="M3" t="s">
        <v>68</v>
      </c>
      <c r="N3" t="s">
        <v>239</v>
      </c>
      <c r="O3" t="s">
        <v>239</v>
      </c>
      <c r="P3" t="s">
        <v>243</v>
      </c>
    </row>
    <row r="4" spans="1:16">
      <c r="A4" t="s">
        <v>173</v>
      </c>
      <c r="B4" t="s">
        <v>108</v>
      </c>
      <c r="C4" s="17">
        <v>46242</v>
      </c>
      <c r="D4" t="s">
        <v>53</v>
      </c>
      <c r="E4" t="s">
        <v>174</v>
      </c>
      <c r="F4" t="s">
        <v>165</v>
      </c>
      <c r="G4" t="s">
        <v>23</v>
      </c>
      <c r="H4" t="s">
        <v>166</v>
      </c>
      <c r="I4" s="17">
        <v>46246</v>
      </c>
      <c r="J4" s="17"/>
      <c r="K4">
        <v>58</v>
      </c>
      <c r="L4" t="s">
        <v>175</v>
      </c>
      <c r="M4" t="s">
        <v>68</v>
      </c>
      <c r="N4" t="s">
        <v>239</v>
      </c>
      <c r="O4" t="s">
        <v>239</v>
      </c>
      <c r="P4" t="s">
        <v>243</v>
      </c>
    </row>
    <row r="5" spans="1:16">
      <c r="A5" t="s">
        <v>176</v>
      </c>
      <c r="B5" t="s">
        <v>108</v>
      </c>
      <c r="C5" s="17">
        <v>46244</v>
      </c>
      <c r="D5" t="s">
        <v>177</v>
      </c>
      <c r="E5" t="s">
        <v>178</v>
      </c>
      <c r="F5" t="s">
        <v>165</v>
      </c>
      <c r="G5" t="s">
        <v>21</v>
      </c>
      <c r="H5" t="s">
        <v>179</v>
      </c>
      <c r="I5" s="17">
        <v>46245</v>
      </c>
      <c r="J5" s="17">
        <v>46245</v>
      </c>
      <c r="K5">
        <v>1</v>
      </c>
      <c r="L5" t="s">
        <v>180</v>
      </c>
      <c r="M5" t="s">
        <v>249</v>
      </c>
      <c r="N5" t="s">
        <v>239</v>
      </c>
      <c r="O5" t="s">
        <v>239</v>
      </c>
      <c r="P5" t="s">
        <v>243</v>
      </c>
    </row>
    <row r="6" spans="1:16">
      <c r="A6" t="s">
        <v>181</v>
      </c>
      <c r="B6" t="s">
        <v>126</v>
      </c>
      <c r="C6" s="17">
        <v>46249</v>
      </c>
      <c r="D6" t="s">
        <v>182</v>
      </c>
      <c r="E6" t="s">
        <v>183</v>
      </c>
      <c r="F6" t="s">
        <v>171</v>
      </c>
      <c r="G6" t="s">
        <v>23</v>
      </c>
      <c r="H6" t="s">
        <v>66</v>
      </c>
      <c r="I6" s="17">
        <v>46254</v>
      </c>
      <c r="J6" s="17"/>
      <c r="K6">
        <v>51</v>
      </c>
      <c r="L6" t="s">
        <v>184</v>
      </c>
      <c r="M6" t="s">
        <v>68</v>
      </c>
      <c r="N6" t="s">
        <v>239</v>
      </c>
      <c r="O6" t="s">
        <v>239</v>
      </c>
      <c r="P6" t="s">
        <v>243</v>
      </c>
    </row>
    <row r="7" spans="1:16">
      <c r="A7" t="s">
        <v>185</v>
      </c>
      <c r="B7" t="s">
        <v>126</v>
      </c>
      <c r="C7" s="17">
        <v>46252</v>
      </c>
      <c r="D7" t="s">
        <v>186</v>
      </c>
      <c r="E7" t="s">
        <v>187</v>
      </c>
      <c r="F7" t="s">
        <v>188</v>
      </c>
      <c r="G7" t="s">
        <v>26</v>
      </c>
      <c r="H7" t="s">
        <v>166</v>
      </c>
      <c r="I7" s="17">
        <v>46253</v>
      </c>
      <c r="J7" s="17"/>
      <c r="K7">
        <v>48</v>
      </c>
      <c r="L7" t="s">
        <v>189</v>
      </c>
      <c r="M7" t="s">
        <v>68</v>
      </c>
      <c r="N7" t="s">
        <v>239</v>
      </c>
      <c r="O7" t="s">
        <v>239</v>
      </c>
      <c r="P7" t="s">
        <v>243</v>
      </c>
    </row>
    <row r="8" spans="1:16">
      <c r="A8" t="s">
        <v>190</v>
      </c>
      <c r="B8" t="s">
        <v>126</v>
      </c>
      <c r="C8" s="17">
        <v>46256</v>
      </c>
      <c r="D8" t="s">
        <v>191</v>
      </c>
      <c r="E8" t="s">
        <v>192</v>
      </c>
      <c r="F8" t="s">
        <v>165</v>
      </c>
      <c r="G8" t="s">
        <v>23</v>
      </c>
      <c r="H8" t="s">
        <v>179</v>
      </c>
      <c r="I8" s="17">
        <v>46259</v>
      </c>
      <c r="J8" s="17">
        <v>46258</v>
      </c>
      <c r="K8">
        <v>2</v>
      </c>
      <c r="L8" t="s">
        <v>193</v>
      </c>
      <c r="M8" t="s">
        <v>249</v>
      </c>
      <c r="N8" t="s">
        <v>239</v>
      </c>
      <c r="O8" t="s">
        <v>239</v>
      </c>
      <c r="P8" t="s">
        <v>243</v>
      </c>
    </row>
    <row r="9" spans="1:16">
      <c r="A9" t="s">
        <v>194</v>
      </c>
      <c r="B9" t="s">
        <v>126</v>
      </c>
      <c r="C9" s="17">
        <v>46259</v>
      </c>
      <c r="D9" t="s">
        <v>195</v>
      </c>
      <c r="E9" t="s">
        <v>196</v>
      </c>
      <c r="F9" t="s">
        <v>171</v>
      </c>
      <c r="G9" t="s">
        <v>26</v>
      </c>
      <c r="H9" t="s">
        <v>166</v>
      </c>
      <c r="I9" s="17">
        <v>46264</v>
      </c>
      <c r="J9" s="17"/>
      <c r="K9">
        <v>41</v>
      </c>
      <c r="L9" t="s">
        <v>197</v>
      </c>
      <c r="M9" t="s">
        <v>68</v>
      </c>
      <c r="N9" t="s">
        <v>239</v>
      </c>
      <c r="O9" t="s">
        <v>239</v>
      </c>
      <c r="P9" t="s">
        <v>243</v>
      </c>
    </row>
  </sheetData>
  <phoneticPr fontId="4"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63A0A-8B24-493D-AE5A-1BBCA85970C1}">
  <dimension ref="A1:P9"/>
  <sheetViews>
    <sheetView workbookViewId="0">
      <selection activeCell="B13" sqref="B13"/>
    </sheetView>
  </sheetViews>
  <sheetFormatPr defaultRowHeight="14.4"/>
  <cols>
    <col min="1" max="1" width="10.33203125" bestFit="1" customWidth="1"/>
    <col min="2" max="2" width="14.77734375" bestFit="1" customWidth="1"/>
    <col min="3" max="3" width="17.21875" bestFit="1" customWidth="1"/>
    <col min="4" max="4" width="26.77734375" bestFit="1" customWidth="1"/>
    <col min="5" max="5" width="17.33203125" bestFit="1" customWidth="1"/>
    <col min="6" max="6" width="14.44140625" bestFit="1" customWidth="1"/>
    <col min="7" max="7" width="13.6640625" bestFit="1" customWidth="1"/>
    <col min="8" max="8" width="17.44140625" bestFit="1" customWidth="1"/>
    <col min="9" max="9" width="9.88671875" bestFit="1" customWidth="1"/>
    <col min="10" max="10" width="9.33203125" bestFit="1" customWidth="1"/>
    <col min="11" max="11" width="14.88671875" bestFit="1" customWidth="1"/>
    <col min="12" max="12" width="14.6640625" bestFit="1" customWidth="1"/>
    <col min="13" max="13" width="29.21875" bestFit="1" customWidth="1"/>
    <col min="14" max="14" width="20.5546875" bestFit="1" customWidth="1"/>
    <col min="15" max="15" width="16.5546875" bestFit="1" customWidth="1"/>
    <col min="16" max="16" width="17.6640625" bestFit="1" customWidth="1"/>
  </cols>
  <sheetData>
    <row r="1" spans="1:16">
      <c r="A1" t="s">
        <v>0</v>
      </c>
      <c r="B1" t="s">
        <v>206</v>
      </c>
      <c r="C1" t="s">
        <v>207</v>
      </c>
      <c r="D1" t="s">
        <v>208</v>
      </c>
      <c r="E1" t="s">
        <v>13</v>
      </c>
      <c r="F1" t="s">
        <v>14</v>
      </c>
      <c r="G1" t="s">
        <v>6</v>
      </c>
      <c r="H1" t="s">
        <v>209</v>
      </c>
      <c r="I1" t="s">
        <v>8</v>
      </c>
      <c r="J1" t="s">
        <v>12</v>
      </c>
      <c r="K1" t="s">
        <v>9</v>
      </c>
      <c r="L1" t="s">
        <v>97</v>
      </c>
      <c r="M1" t="s">
        <v>10</v>
      </c>
      <c r="N1" t="s">
        <v>250</v>
      </c>
      <c r="O1" t="s">
        <v>94</v>
      </c>
      <c r="P1" t="s">
        <v>248</v>
      </c>
    </row>
    <row r="2" spans="1:16">
      <c r="A2" t="s">
        <v>108</v>
      </c>
      <c r="B2" t="s">
        <v>210</v>
      </c>
      <c r="C2" t="s">
        <v>211</v>
      </c>
      <c r="D2" t="s">
        <v>212</v>
      </c>
      <c r="E2" t="s">
        <v>42</v>
      </c>
      <c r="F2" s="17">
        <v>46235</v>
      </c>
      <c r="G2" s="17">
        <v>46239</v>
      </c>
      <c r="H2" s="17">
        <v>46239</v>
      </c>
      <c r="I2" t="s">
        <v>65</v>
      </c>
      <c r="J2" t="s">
        <v>165</v>
      </c>
      <c r="K2">
        <v>0</v>
      </c>
      <c r="L2" t="s">
        <v>243</v>
      </c>
      <c r="M2" t="s">
        <v>213</v>
      </c>
      <c r="N2" t="s">
        <v>239</v>
      </c>
      <c r="O2" t="s">
        <v>239</v>
      </c>
      <c r="P2" t="s">
        <v>243</v>
      </c>
    </row>
    <row r="3" spans="1:16">
      <c r="A3" t="s">
        <v>108</v>
      </c>
      <c r="B3" t="s">
        <v>214</v>
      </c>
      <c r="C3" t="s">
        <v>118</v>
      </c>
      <c r="D3" t="s">
        <v>215</v>
      </c>
      <c r="E3" t="s">
        <v>23</v>
      </c>
      <c r="F3" s="17">
        <v>46237</v>
      </c>
      <c r="G3" s="17">
        <v>46244</v>
      </c>
      <c r="H3" s="17"/>
      <c r="I3" t="s">
        <v>68</v>
      </c>
      <c r="J3" t="s">
        <v>188</v>
      </c>
      <c r="K3">
        <v>56</v>
      </c>
      <c r="L3" t="s">
        <v>242</v>
      </c>
      <c r="M3" t="s">
        <v>141</v>
      </c>
      <c r="N3" t="s">
        <v>239</v>
      </c>
      <c r="O3" t="s">
        <v>239</v>
      </c>
      <c r="P3" t="s">
        <v>243</v>
      </c>
    </row>
    <row r="4" spans="1:16">
      <c r="A4" t="s">
        <v>108</v>
      </c>
      <c r="B4" t="s">
        <v>216</v>
      </c>
      <c r="C4" t="s">
        <v>53</v>
      </c>
      <c r="D4" t="s">
        <v>217</v>
      </c>
      <c r="E4" t="s">
        <v>21</v>
      </c>
      <c r="F4" s="17">
        <v>46239</v>
      </c>
      <c r="G4" s="17">
        <v>46246</v>
      </c>
      <c r="H4" s="17"/>
      <c r="I4" t="s">
        <v>66</v>
      </c>
      <c r="J4" t="s">
        <v>165</v>
      </c>
      <c r="K4">
        <v>54</v>
      </c>
      <c r="L4" t="s">
        <v>243</v>
      </c>
      <c r="M4" t="s">
        <v>218</v>
      </c>
      <c r="N4" t="s">
        <v>239</v>
      </c>
      <c r="O4" t="s">
        <v>239</v>
      </c>
      <c r="P4" t="s">
        <v>243</v>
      </c>
    </row>
    <row r="5" spans="1:16">
      <c r="A5" t="s">
        <v>108</v>
      </c>
      <c r="B5" t="s">
        <v>219</v>
      </c>
      <c r="C5" t="s">
        <v>220</v>
      </c>
      <c r="D5" t="s">
        <v>221</v>
      </c>
      <c r="E5" t="s">
        <v>26</v>
      </c>
      <c r="F5" s="17">
        <v>46242</v>
      </c>
      <c r="G5" s="17">
        <v>46249</v>
      </c>
      <c r="H5" s="17">
        <v>46249</v>
      </c>
      <c r="I5" t="s">
        <v>65</v>
      </c>
      <c r="J5" t="s">
        <v>171</v>
      </c>
      <c r="K5">
        <v>0</v>
      </c>
      <c r="L5" t="s">
        <v>243</v>
      </c>
      <c r="M5" t="s">
        <v>222</v>
      </c>
      <c r="N5" t="s">
        <v>239</v>
      </c>
      <c r="O5" t="s">
        <v>239</v>
      </c>
      <c r="P5" t="s">
        <v>243</v>
      </c>
    </row>
    <row r="6" spans="1:16">
      <c r="A6" t="s">
        <v>126</v>
      </c>
      <c r="B6" t="s">
        <v>223</v>
      </c>
      <c r="C6" t="s">
        <v>211</v>
      </c>
      <c r="D6" t="s">
        <v>128</v>
      </c>
      <c r="E6" t="s">
        <v>42</v>
      </c>
      <c r="F6" s="17">
        <v>46249</v>
      </c>
      <c r="G6" s="17">
        <v>46256</v>
      </c>
      <c r="H6" s="17"/>
      <c r="I6" t="s">
        <v>129</v>
      </c>
      <c r="J6" t="s">
        <v>165</v>
      </c>
      <c r="K6">
        <v>44</v>
      </c>
      <c r="L6" t="s">
        <v>243</v>
      </c>
      <c r="M6" t="s">
        <v>130</v>
      </c>
      <c r="N6" t="s">
        <v>239</v>
      </c>
      <c r="O6" t="s">
        <v>239</v>
      </c>
      <c r="P6" t="s">
        <v>243</v>
      </c>
    </row>
    <row r="7" spans="1:16">
      <c r="A7" t="s">
        <v>126</v>
      </c>
      <c r="B7" t="s">
        <v>224</v>
      </c>
      <c r="C7" t="s">
        <v>132</v>
      </c>
      <c r="D7" t="s">
        <v>133</v>
      </c>
      <c r="E7" t="s">
        <v>21</v>
      </c>
      <c r="F7" s="17">
        <v>46252</v>
      </c>
      <c r="G7" s="17">
        <v>46254</v>
      </c>
      <c r="H7" s="17">
        <v>46254</v>
      </c>
      <c r="I7" t="s">
        <v>65</v>
      </c>
      <c r="J7" t="s">
        <v>171</v>
      </c>
      <c r="K7">
        <v>0</v>
      </c>
      <c r="L7" t="s">
        <v>243</v>
      </c>
      <c r="M7" t="s">
        <v>225</v>
      </c>
      <c r="N7" t="s">
        <v>239</v>
      </c>
      <c r="O7" t="s">
        <v>239</v>
      </c>
      <c r="P7" t="s">
        <v>243</v>
      </c>
    </row>
    <row r="8" spans="1:16">
      <c r="A8" t="s">
        <v>126</v>
      </c>
      <c r="B8" t="s">
        <v>226</v>
      </c>
      <c r="C8" t="s">
        <v>220</v>
      </c>
      <c r="D8" t="s">
        <v>136</v>
      </c>
      <c r="E8" t="s">
        <v>26</v>
      </c>
      <c r="F8" s="17">
        <v>46254</v>
      </c>
      <c r="G8" s="17">
        <v>46259</v>
      </c>
      <c r="H8" s="17"/>
      <c r="I8" t="s">
        <v>66</v>
      </c>
      <c r="J8" t="s">
        <v>165</v>
      </c>
      <c r="K8">
        <v>41</v>
      </c>
      <c r="L8" t="s">
        <v>243</v>
      </c>
      <c r="M8" t="s">
        <v>227</v>
      </c>
      <c r="N8" t="s">
        <v>239</v>
      </c>
      <c r="O8" t="s">
        <v>239</v>
      </c>
      <c r="P8" t="s">
        <v>243</v>
      </c>
    </row>
    <row r="9" spans="1:16">
      <c r="A9" t="s">
        <v>126</v>
      </c>
      <c r="B9" t="s">
        <v>228</v>
      </c>
      <c r="C9" t="s">
        <v>118</v>
      </c>
      <c r="D9" t="s">
        <v>140</v>
      </c>
      <c r="E9" t="s">
        <v>23</v>
      </c>
      <c r="F9" s="17">
        <v>46254</v>
      </c>
      <c r="G9" s="17">
        <v>46262</v>
      </c>
      <c r="H9" s="17"/>
      <c r="I9" t="s">
        <v>68</v>
      </c>
      <c r="J9" t="s">
        <v>188</v>
      </c>
      <c r="K9">
        <v>38</v>
      </c>
      <c r="L9" t="s">
        <v>242</v>
      </c>
      <c r="M9" t="s">
        <v>229</v>
      </c>
      <c r="N9" t="s">
        <v>239</v>
      </c>
      <c r="O9" t="s">
        <v>239</v>
      </c>
      <c r="P9" t="s">
        <v>243</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24469E-CCF1-444F-AECB-790CD8997F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Employees</vt:lpstr>
      <vt:lpstr>Courses</vt:lpstr>
      <vt:lpstr>Training Tracker</vt:lpstr>
      <vt:lpstr>TMF Document Tracker</vt:lpstr>
      <vt:lpstr>Issue Log</vt:lpstr>
      <vt:lpstr>Deliverables and Milestones</vt:lpstr>
      <vt:lpstr>Data Quality</vt:lpstr>
      <vt:lpstr>TMF Data Quality</vt:lpstr>
      <vt:lpstr>Training KPIs</vt:lpstr>
      <vt:lpstr>TMF KPIs</vt:lpstr>
      <vt:lpstr>Issue KPIs</vt:lpstr>
      <vt:lpstr>Deliverables KPIs</vt:lpstr>
      <vt:lpstr>Training Pivot - Emp Status</vt:lpstr>
      <vt:lpstr>Training Pivot - Role</vt:lpstr>
      <vt:lpstr>Training Pivot - Course Status</vt:lpstr>
      <vt:lpstr>Training Pivot - Hours</vt:lpstr>
      <vt:lpstr>TMF Pivot Status</vt:lpstr>
      <vt:lpstr>Training Dashboard</vt:lpstr>
      <vt:lpstr>TMF Document Control Dashboard</vt:lpstr>
      <vt:lpstr>PQ_Training_Output</vt:lpstr>
      <vt:lpstr>PQ_Employees_Output</vt:lpstr>
      <vt:lpstr>PQ_Courses_Output</vt:lpstr>
      <vt:lpstr>PQ_TMF_Output</vt:lpstr>
      <vt:lpstr>PQ_Issue_Output</vt:lpstr>
      <vt:lpstr>PQ_Deliverables_Output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Abida Ganić Ličina</dc:creator>
  <cp:lastModifiedBy>Abida Ganić Ličina</cp:lastModifiedBy>
  <dcterms:created xsi:type="dcterms:W3CDTF">2026-08-14T13:01:12Z</dcterms:created>
  <dcterms:modified xsi:type="dcterms:W3CDTF">2026-10-05T16:19:15Z</dcterms:modified>
</cp:coreProperties>
</file>